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Hourly series" sheetId="2" state="visible" r:id="rId2"/>
    <sheet xmlns:r="http://schemas.openxmlformats.org/officeDocument/2006/relationships" name="Upload format" sheetId="3" state="visible" r:id="rId3"/>
    <sheet xmlns:r="http://schemas.openxmlformats.org/officeDocument/2006/relationships" name="Rows by resolution" sheetId="4" state="visible" r:id="rId4"/>
    <sheet xmlns:r="http://schemas.openxmlformats.org/officeDocument/2006/relationships" name="Project inputs" sheetId="5" state="visible" r:id="rId5"/>
    <sheet xmlns:r="http://schemas.openxmlformats.org/officeDocument/2006/relationships" name="Site and infrastructure" sheetId="6" state="visible" r:id="rId6"/>
    <sheet xmlns:r="http://schemas.openxmlformats.org/officeDocument/2006/relationships" name="Data sources" sheetId="7" state="visible" r:id="rId7"/>
    <sheet xmlns:r="http://schemas.openxmlformats.org/officeDocument/2006/relationships" name="Built-in downloads" sheetId="8" state="visible" r:id="rId8"/>
  </sheets>
  <definedNames/>
  <calcPr calcId="124519" fullCalcOnLoad="1"/>
</workbook>
</file>

<file path=xl/styles.xml><?xml version="1.0" encoding="utf-8"?>
<styleSheet xmlns="http://schemas.openxmlformats.org/spreadsheetml/2006/main">
  <numFmts count="1">
    <numFmt numFmtId="164" formatCode="0.00000"/>
  </numFmts>
  <fonts count="12">
    <font>
      <name val="Calibri"/>
      <family val="2"/>
      <color theme="1"/>
      <sz val="11"/>
      <scheme val="minor"/>
    </font>
    <font>
      <name val="Arial"/>
      <b val="1"/>
      <color rgb="000E2A3B"/>
      <sz val="16"/>
    </font>
    <font>
      <name val="Arial"/>
      <sz val="10"/>
    </font>
    <font>
      <name val="Arial"/>
      <b val="1"/>
      <color rgb="001F6F8B"/>
      <sz val="11"/>
    </font>
    <font>
      <name val="Arial"/>
      <i val="1"/>
      <color rgb="004D5D66"/>
      <sz val="10"/>
    </font>
    <font>
      <name val="Arial"/>
      <b val="1"/>
      <color rgb="00FFFFFF"/>
      <sz val="10"/>
    </font>
    <font>
      <name val="Arial"/>
      <color rgb="001F6F8B"/>
      <sz val="10"/>
      <u val="single"/>
    </font>
    <font>
      <name val="Arial"/>
      <b val="1"/>
      <color rgb="000E2A3B"/>
      <sz val="13"/>
    </font>
    <font>
      <name val="Arial"/>
      <b val="1"/>
      <color rgb="000E2A3B"/>
      <sz val="12"/>
    </font>
    <font>
      <name val="Arial"/>
      <color rgb="00000000"/>
      <sz val="10"/>
    </font>
    <font>
      <name val="Arial"/>
      <color rgb="000000FF"/>
      <sz val="10"/>
    </font>
    <font>
      <name val="Arial"/>
      <i val="1"/>
      <sz val="10"/>
    </font>
  </fonts>
  <fills count="4">
    <fill>
      <patternFill/>
    </fill>
    <fill>
      <patternFill patternType="gray125"/>
    </fill>
    <fill>
      <patternFill patternType="solid">
        <fgColor rgb="00FFF2CC"/>
      </patternFill>
    </fill>
    <fill>
      <patternFill patternType="solid">
        <fgColor rgb="000E2A3B"/>
      </patternFill>
    </fill>
  </fills>
  <borders count="2">
    <border>
      <left/>
      <right/>
      <top/>
      <bottom/>
      <diagonal/>
    </border>
    <border>
      <left style="thin">
        <color rgb="00C9D6DD"/>
      </left>
      <right style="thin">
        <color rgb="00C9D6DD"/>
      </right>
      <top style="thin">
        <color rgb="00C9D6DD"/>
      </top>
      <bottom style="thin">
        <color rgb="00C9D6DD"/>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vertical="center" wrapText="1"/>
    </xf>
    <xf numFmtId="0" fontId="2" fillId="0"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3" borderId="1" pivotButton="0" quotePrefix="0" xfId="0"/>
    <xf numFmtId="0" fontId="2" fillId="0" borderId="1" pivotButton="0" quotePrefix="0" xfId="0"/>
    <xf numFmtId="164" fontId="2" fillId="2" borderId="1" pivotButton="0" quotePrefix="0" xfId="0"/>
    <xf numFmtId="2" fontId="2" fillId="2" borderId="1" pivotButton="0" quotePrefix="0" xfId="0"/>
    <xf numFmtId="0" fontId="8" fillId="0" borderId="0" pivotButton="0" quotePrefix="0" xfId="0"/>
    <xf numFmtId="0" fontId="9" fillId="0" borderId="1" pivotButton="0" quotePrefix="0" xfId="0"/>
    <xf numFmtId="0" fontId="10" fillId="2" borderId="1" pivotButton="0" quotePrefix="0" xfId="0"/>
    <xf numFmtId="3" fontId="9"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pen-meteo.com/en/docs/historical-weather-api" TargetMode="External" Id="rId1"/><Relationship Type="http://schemas.openxmlformats.org/officeDocument/2006/relationships/hyperlink" Target="https://www.renewables.ninja" TargetMode="External" Id="rId2"/><Relationship Type="http://schemas.openxmlformats.org/officeDocument/2006/relationships/hyperlink" Target="https://re.jrc.ec.europa.eu/pvg_tools/en/" TargetMode="External" Id="rId3"/><Relationship Type="http://schemas.openxmlformats.org/officeDocument/2006/relationships/hyperlink" Target="https://www.renewables.ninja" TargetMode="External" Id="rId4"/><Relationship Type="http://schemas.openxmlformats.org/officeDocument/2006/relationships/hyperlink" Target="https://api.energy-charts.info" TargetMode="External" Id="rId5"/><Relationship Type="http://schemas.openxmlformats.org/officeDocument/2006/relationships/hyperlink" Target="https://transparency.entsoe.eu" TargetMode="External" Id="rId6"/><Relationship Type="http://schemas.openxmlformats.org/officeDocument/2006/relationships/hyperlink" Target="https://transparency.entsoe.eu" TargetMode="External" Id="rId7"/><Relationship Type="http://schemas.openxmlformats.org/officeDocument/2006/relationships/hyperlink" Target="https://odre.opendatasoft.com" TargetMode="External" Id="rId8"/></Relationships>
</file>

<file path=xl/worksheets/_rels/sheet6.xml.rels><Relationships xmlns="http://schemas.openxmlformats.org/package/2006/relationships"><Relationship Type="http://schemas.openxmlformats.org/officeDocument/2006/relationships/hyperlink" Target="https://emodnet.ec.europa.eu/geoviewer/" TargetMode="External" Id="rId1"/><Relationship Type="http://schemas.openxmlformats.org/officeDocument/2006/relationships/hyperlink" Target="https://download.gebco.net" TargetMode="External" Id="rId2"/><Relationship Type="http://schemas.openxmlformats.org/officeDocument/2006/relationships/hyperlink" Target="https://emodnet.ec.europa.eu/en/human-activities" TargetMode="External" Id="rId3"/><Relationship Type="http://schemas.openxmlformats.org/officeDocument/2006/relationships/hyperlink" Target="https://maritime-spatial-planning.ec.europa.eu" TargetMode="External" Id="rId4"/><Relationship Type="http://schemas.openxmlformats.org/officeDocument/2006/relationships/hyperlink" Target="https://openinframap.org" TargetMode="External" Id="rId5"/><Relationship Type="http://schemas.openxmlformats.org/officeDocument/2006/relationships/hyperlink" Target="https://www.entsoe.eu/data/map/" TargetMode="External" Id="rId6"/><Relationship Type="http://schemas.openxmlformats.org/officeDocument/2006/relationships/hyperlink" Target="https://ehb.eu/page/european-hydrogen-backbone-maps" TargetMode="External" Id="rId7"/><Relationship Type="http://schemas.openxmlformats.org/officeDocument/2006/relationships/hyperlink" Target="https://www.entsog.eu/tyndp" TargetMode="External" Id="rId8"/><Relationship Type="http://schemas.openxmlformats.org/officeDocument/2006/relationships/hyperlink" Target="https://emodnet.ec.europa.eu/en/human-activities" TargetMode="External" Id="rId9"/><Relationship Type="http://schemas.openxmlformats.org/officeDocument/2006/relationships/hyperlink" Target="https://www.entsoe.eu/data/map/" TargetMode="External" Id="rId10"/><Relationship Type="http://schemas.openxmlformats.org/officeDocument/2006/relationships/hyperlink" Target="https://www.entsog.eu/tyndp" TargetMode="External" Id="rId11"/><Relationship Type="http://schemas.openxmlformats.org/officeDocument/2006/relationships/hyperlink" Target="https://emodnet.ec.europa.eu/en/human-activities" TargetMode="External" Id="rId12"/><Relationship Type="http://schemas.openxmlformats.org/officeDocument/2006/relationships/hyperlink" Target="https://www.entsog.eu/tyndp" TargetMode="External" Id="rId13"/><Relationship Type="http://schemas.openxmlformats.org/officeDocument/2006/relationships/hyperlink" Target="https://natura2000.eea.europa.eu" TargetMode="External" Id="rId14"/><Relationship Type="http://schemas.openxmlformats.org/officeDocument/2006/relationships/hyperlink" Target="https://emodnet.ec.europa.eu/en/human-activities" TargetMode="External" Id="rId15"/></Relationships>
</file>

<file path=xl/worksheets/_rels/sheet7.xml.rels><Relationships xmlns="http://schemas.openxmlformats.org/package/2006/relationships"><Relationship Type="http://schemas.openxmlformats.org/officeDocument/2006/relationships/hyperlink" Target="https://open-meteo.com/en/docs/historical-weather-api" TargetMode="External" Id="rId1"/><Relationship Type="http://schemas.openxmlformats.org/officeDocument/2006/relationships/hyperlink" Target="https://cds.climate.copernicus.eu/datasets/reanalysis-era5-single-levels" TargetMode="External" Id="rId2"/><Relationship Type="http://schemas.openxmlformats.org/officeDocument/2006/relationships/hyperlink" Target="https://www.renewables.ninja" TargetMode="External" Id="rId3"/><Relationship Type="http://schemas.openxmlformats.org/officeDocument/2006/relationships/hyperlink" Target="https://re.jrc.ec.europa.eu/pvg_tools/en/" TargetMode="External" Id="rId4"/><Relationship Type="http://schemas.openxmlformats.org/officeDocument/2006/relationships/hyperlink" Target="https://map.neweuropeanwindatlas.eu" TargetMode="External" Id="rId5"/><Relationship Type="http://schemas.openxmlformats.org/officeDocument/2006/relationships/hyperlink" Target="https://globalwindatlas.info" TargetMode="External" Id="rId6"/><Relationship Type="http://schemas.openxmlformats.org/officeDocument/2006/relationships/hyperlink" Target="https://api.energy-charts.info" TargetMode="External" Id="rId7"/><Relationship Type="http://schemas.openxmlformats.org/officeDocument/2006/relationships/hyperlink" Target="https://transparency.entsoe.eu" TargetMode="External" Id="rId8"/><Relationship Type="http://schemas.openxmlformats.org/officeDocument/2006/relationships/hyperlink" Target="https://www.energidataservice.dk/tso-electricity/DayAheadPrices" TargetMode="External" Id="rId9"/><Relationship Type="http://schemas.openxmlformats.org/officeDocument/2006/relationships/hyperlink" Target="https://odre.opendatasoft.com" TargetMode="External" Id="rId10"/><Relationship Type="http://schemas.openxmlformats.org/officeDocument/2006/relationships/hyperlink" Target="https://data.open-power-system-data.org/time_series/" TargetMode="External" Id="rId11"/><Relationship Type="http://schemas.openxmlformats.org/officeDocument/2006/relationships/hyperlink" Target="https://emodnet.ec.europa.eu/geoviewer/" TargetMode="External" Id="rId12"/><Relationship Type="http://schemas.openxmlformats.org/officeDocument/2006/relationships/hyperlink" Target="https://download.gebco.net" TargetMode="External" Id="rId13"/><Relationship Type="http://schemas.openxmlformats.org/officeDocument/2006/relationships/hyperlink" Target="https://emodnet.ec.europa.eu/en/human-activities" TargetMode="External" Id="rId14"/><Relationship Type="http://schemas.openxmlformats.org/officeDocument/2006/relationships/hyperlink" Target="https://natura2000.eea.europa.eu" TargetMode="External" Id="rId15"/><Relationship Type="http://schemas.openxmlformats.org/officeDocument/2006/relationships/hyperlink" Target="https://ehb.eu/page/european-hydrogen-backbone-maps" TargetMode="External" Id="rId16"/><Relationship Type="http://schemas.openxmlformats.org/officeDocument/2006/relationships/hyperlink" Target="https://www.entsog.eu/tyndp" TargetMode="External" Id="rId17"/><Relationship Type="http://schemas.openxmlformats.org/officeDocument/2006/relationships/hyperlink" Target="https://openinframap.org" TargetMode="External" Id="rId18"/><Relationship Type="http://schemas.openxmlformats.org/officeDocument/2006/relationships/hyperlink" Target="https://ens.dk/en/analyses-and-statistics/technology-data-generation-electricity-and-district-heating" TargetMode="External" Id="rId19"/><Relationship Type="http://schemas.openxmlformats.org/officeDocument/2006/relationships/hyperlink" Target="https://atb.nlr.gov/electricity/2025/data" TargetMode="External" Id="rId20"/><Relationship Type="http://schemas.openxmlformats.org/officeDocument/2006/relationships/hyperlink" Target="https://www.acer.europa.eu" TargetMode="External" Id="rId21"/><Relationship Type="http://schemas.openxmlformats.org/officeDocument/2006/relationships/hyperlink" Target="https://github.com/IEAWindTask37/IEA-15-240-RWT" TargetMode="External" Id="rId22"/></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EVOLVE Planner: data guide</t>
        </is>
      </c>
    </row>
    <row r="2">
      <c r="A2" s="2" t="inlineStr">
        <is>
          <t>What this file tells you: which data the planner can take, in which format and resolution, and where to get each item. Facts about data services were checked on their official pages on 8 October 2026; the 'Checked' column says where that was not possible.</t>
        </is>
      </c>
    </row>
    <row r="3">
      <c r="A3" s="2" t="inlineStr"/>
    </row>
    <row r="4">
      <c r="A4" s="3" t="inlineStr">
        <is>
          <t>Sheets</t>
        </is>
      </c>
    </row>
    <row r="5">
      <c r="A5" s="2" t="inlineStr">
        <is>
          <t>Hourly series – the time series you can upload, what each one is for and where to get it.</t>
        </is>
      </c>
    </row>
    <row r="6">
      <c r="A6" s="2" t="inlineStr">
        <is>
          <t>Upload format – the exact layout of the file you upload, with a filled example and the rules the app applies.</t>
        </is>
      </c>
    </row>
    <row r="7">
      <c r="A7" s="2" t="inlineStr">
        <is>
          <t>Rows by resolution – how many rows a one-year file must have at each time step.</t>
        </is>
      </c>
    </row>
    <row r="8">
      <c r="A8" s="2" t="inlineStr">
        <is>
          <t>Project inputs – every number and choice the planner asks for, with its unit, default and a source to look up.</t>
        </is>
      </c>
    </row>
    <row r="9">
      <c r="A9" s="2" t="inlineStr">
        <is>
          <t>Site and infrastructure – where to find depth, sea area, grid points, hydrogen networks and constraints.</t>
        </is>
      </c>
    </row>
    <row r="10">
      <c r="A10" s="2" t="inlineStr">
        <is>
          <t>Data sources – every service named in this guide: resolution, coverage, access, licence, link.</t>
        </is>
      </c>
    </row>
    <row r="11">
      <c r="A11" s="2" t="inlineStr">
        <is>
          <t>Built-in downloads – what the app can fetch for you from coordinates, and how it converts it.</t>
        </is>
      </c>
    </row>
    <row r="12">
      <c r="A12" s="2" t="inlineStr"/>
    </row>
    <row r="13">
      <c r="A13" s="3" t="inlineStr">
        <is>
          <t>The three rules for hourly data</t>
        </is>
      </c>
    </row>
    <row r="14">
      <c r="A14" s="2" t="inlineStr">
        <is>
          <t>1. One calendar year only. The planner reduces that year with topological data analysis and checks the design on all of its hours; it never mixes years.</t>
        </is>
      </c>
    </row>
    <row r="15">
      <c r="A15" s="2" t="inlineStr">
        <is>
          <t>2. Hourly values in UTC, starting 1 January 00:00. 30, 15, 10 and 5-minute files are accepted and averaged to hours; a leap year loses 29 February, so every year has 8,760 hours.</t>
        </is>
      </c>
    </row>
    <row r="16">
      <c r="A16" s="2" t="inlineStr">
        <is>
          <t>3. Capacity factors are fractions between 0 and 1 (percent is detected and divided by 100); prices in EUR/MWh; demand in MW (electricity) and kg/h (hydrogen).</t>
        </is>
      </c>
    </row>
    <row r="17">
      <c r="A17" s="2" t="inlineStr"/>
    </row>
    <row r="18">
      <c r="A18" s="4" t="inlineStr">
        <is>
          <t>Colour key</t>
        </is>
      </c>
    </row>
    <row r="19">
      <c r="A19" s="2" t="inlineStr">
        <is>
          <t>Yellow cells in 'Upload format' and 'Rows by resolution' are the ones you change. Everything else is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24" customWidth="1" min="1" max="1"/>
    <col width="18" customWidth="1" min="2" max="2"/>
    <col width="18" customWidth="1" min="3" max="3"/>
    <col width="22" customWidth="1" min="4" max="4"/>
    <col width="36" customWidth="1" min="5" max="5"/>
    <col width="60" customWidth="1" min="6" max="6"/>
    <col width="52" customWidth="1" min="7" max="7"/>
    <col width="34" customWidth="1" min="8" max="8"/>
    <col width="34" customWidth="1" min="9" max="9"/>
  </cols>
  <sheetData>
    <row r="1" ht="42" customHeight="1">
      <c r="A1" s="5" t="inlineStr">
        <is>
          <t>One calendar year per series. Leave a column empty if you do not need it. Column names are matched without regard to case; the alternative names the app also accepts are listed in 'Upload format'.</t>
        </is>
      </c>
    </row>
    <row r="3">
      <c r="A3" s="6" t="inlineStr">
        <is>
          <t>Series</t>
        </is>
      </c>
      <c r="B3" s="6" t="inlineStr">
        <is>
          <t>Column name in your file</t>
        </is>
      </c>
      <c r="C3" s="6" t="inlineStr">
        <is>
          <t>Unit</t>
        </is>
      </c>
      <c r="D3" s="6" t="inlineStr">
        <is>
          <t>Needed when</t>
        </is>
      </c>
      <c r="E3" s="6" t="inlineStr">
        <is>
          <t>What the planner does with it</t>
        </is>
      </c>
      <c r="F3" s="6" t="inlineStr">
        <is>
          <t>Where to get it</t>
        </is>
      </c>
      <c r="G3" s="6" t="inlineStr">
        <is>
          <t>How to prepare it</t>
        </is>
      </c>
      <c r="H3" s="6" t="inlineStr">
        <is>
          <t>Main link</t>
        </is>
      </c>
      <c r="I3" s="6" t="inlineStr">
        <is>
          <t>Second link</t>
        </is>
      </c>
    </row>
    <row r="4">
      <c r="A4" s="7" t="inlineStr">
        <is>
          <t>Wind capacity factor</t>
        </is>
      </c>
      <c r="B4" s="7" t="inlineStr">
        <is>
          <t>wind_cf</t>
        </is>
      </c>
      <c r="C4" s="7" t="inlineStr">
        <is>
          <t>fraction of rated power (0–1)</t>
        </is>
      </c>
      <c r="D4" s="7" t="inlineStr">
        <is>
          <t>Always</t>
        </is>
      </c>
      <c r="E4" s="7" t="inlineStr">
        <is>
          <t>Hourly output of 1 MW of offshore wind after losses; multiplied by the wind capacity the model chooses.</t>
        </is>
      </c>
      <c r="F4" s="7" t="inlineStr">
        <is>
          <t>1) Built in: ERA5 wind at the island via Open-Meteo, IEA 15 MW curve (Data step → Download by coordinates). 2) Renewables.ninja wind (MERRA-2). 3) ERA5 from the Copernicus CDS. 4) NEWA mesoscale (3 km, 30-min). 5) Your own measured or modelled farm output.</t>
        </is>
      </c>
      <c r="G4" s="7" t="inlineStr">
        <is>
          <t>Wind speed at hub height → turbine power curve → divide by rated power → subtract wake and electrical losses (10–15 % is common). Use ERA5, not ERA5-Land, offshore: ERA5-Land has no 100 m wind.</t>
        </is>
      </c>
      <c r="H4" s="8" t="inlineStr">
        <is>
          <t>https://open-meteo.com/en/docs/historical-weather-api</t>
        </is>
      </c>
      <c r="I4" s="8" t="inlineStr">
        <is>
          <t>https://www.renewables.ninja</t>
        </is>
      </c>
    </row>
    <row r="5">
      <c r="A5" s="7" t="inlineStr">
        <is>
          <t>Solar (floating PV) capacity factor</t>
        </is>
      </c>
      <c r="B5" s="7" t="inlineStr">
        <is>
          <t>pv_cf</t>
        </is>
      </c>
      <c r="C5" s="7" t="inlineStr">
        <is>
          <t>fraction of rated power (0–1)</t>
        </is>
      </c>
      <c r="D5" s="7" t="inlineStr">
        <is>
          <t>When floating PV is allowed</t>
        </is>
      </c>
      <c r="E5" s="7" t="inlineStr">
        <is>
          <t>Hourly output of 1 MW of floating PV; multiplied by the PV capacity the model chooses.</t>
        </is>
      </c>
      <c r="F5" s="7" t="inlineStr">
        <is>
          <t>1) Built in: ERA5 irradiance via Open-Meteo through pvlib. 2) PVGIS hourly series (SARAH-3 or ERA5, 2005–2023; land and up to 25 km offshore). 3) Renewables.ninja PV.</t>
        </is>
      </c>
      <c r="G5" s="7" t="inlineStr">
        <is>
          <t>Irradiance on the module plane → PV model with cell temperature → divide by rated power → losses. Leave the column empty and switch floating PV off if it is not an option.</t>
        </is>
      </c>
      <c r="H5" s="8" t="inlineStr">
        <is>
          <t>https://re.jrc.ec.europa.eu/pvg_tools/en/</t>
        </is>
      </c>
      <c r="I5" s="8" t="inlineStr">
        <is>
          <t>https://www.renewables.ninja</t>
        </is>
      </c>
    </row>
    <row r="6">
      <c r="A6" s="7" t="inlineStr">
        <is>
          <t>Day-ahead electricity price</t>
        </is>
      </c>
      <c r="B6" s="7" t="inlineStr">
        <is>
          <t>price_eur_mwh</t>
        </is>
      </c>
      <c r="C6" s="7" t="inlineStr">
        <is>
          <t>EUR/MWh</t>
        </is>
      </c>
      <c r="D6" s="7" t="inlineStr">
        <is>
          <t>Merchant or CfD revenue</t>
        </is>
      </c>
      <c r="E6" s="7" t="inlineStr">
        <is>
          <t>Revenue per MWh sold in each hour; negative prices are kept (CfD pays nothing in negative hours).</t>
        </is>
      </c>
      <c r="F6" s="7" t="inlineStr">
        <is>
          <t>1) Built in: Energy-Charts API by bidding zone. 2) ENTSO-E Transparency Platform (free token). 3) Energi Data Service (Denmark, free). 4) Nord Pool or EPEX data (paid).</t>
        </is>
      </c>
      <c r="G6" s="7" t="inlineStr">
        <is>
          <t>Since 1 October 2025 the European day-ahead market clears in 15-minute steps: upload the 15-minute file as it is (the app averages each hour) or average to hours yourself.</t>
        </is>
      </c>
      <c r="H6" s="8" t="inlineStr">
        <is>
          <t>https://api.energy-charts.info</t>
        </is>
      </c>
      <c r="I6" s="8" t="inlineStr">
        <is>
          <t>https://transparency.entsoe.eu</t>
        </is>
      </c>
    </row>
    <row r="7">
      <c r="A7" s="7" t="inlineStr">
        <is>
          <t>Electricity demand profile</t>
        </is>
      </c>
      <c r="B7" s="7" t="inlineStr">
        <is>
          <t>elec_demand_mw</t>
        </is>
      </c>
      <c r="C7" s="7" t="inlineStr">
        <is>
          <t>MW</t>
        </is>
      </c>
      <c r="D7" s="7" t="inlineStr">
        <is>
          <t>Only for 'follow my hourly profile' electricity delivery</t>
        </is>
      </c>
      <c r="E7" s="7" t="inlineStr">
        <is>
          <t>The power the system must deliver in each hour.</t>
        </is>
      </c>
      <c r="F7" s="7" t="inlineStr">
        <is>
          <t>Your offtaker's metered load; ENTSO-E actual total load (national shape, scale to your annual volume); RTE éCO2mix / ODRÉ for France; Open Power System Data (2015–mid 2020, frozen).</t>
        </is>
      </c>
      <c r="G7" s="7" t="inlineStr">
        <is>
          <t>For a national shape: divide each hour by the national annual total and multiply by your annual volume.</t>
        </is>
      </c>
      <c r="H7" s="8" t="inlineStr">
        <is>
          <t>https://transparency.entsoe.eu</t>
        </is>
      </c>
      <c r="I7" s="8" t="inlineStr">
        <is>
          <t>https://odre.opendatasoft.com</t>
        </is>
      </c>
    </row>
    <row r="8">
      <c r="A8" s="7" t="inlineStr">
        <is>
          <t>Hydrogen demand profile</t>
        </is>
      </c>
      <c r="B8" s="7" t="inlineStr">
        <is>
          <t>h2_demand_kgh</t>
        </is>
      </c>
      <c r="C8" s="7" t="inlineStr">
        <is>
          <t>kg/h</t>
        </is>
      </c>
      <c r="D8" s="7" t="inlineStr">
        <is>
          <t>Only for 'follow my hourly profile' hydrogen delivery</t>
        </is>
      </c>
      <c r="E8" s="7" t="inlineStr">
        <is>
          <t>The hydrogen the system must deliver in each hour.</t>
        </is>
      </c>
      <c r="F8" s="7" t="inlineStr">
        <is>
          <t>Your offtaker (refinery, ammonia or methanol plant, port, bus depot). No public hourly hydrogen demand exists; for industry a constant flow is the usual assumption (use 'constant flow every hour' instead).</t>
        </is>
      </c>
      <c r="G8" s="7" t="inlineStr">
        <is>
          <t>kg/h = annual tonnes × 1,000 / 8,760 for a flat profile.</t>
        </is>
      </c>
      <c r="H8" s="7" t="inlineStr"/>
      <c r="I8" s="7" t="inlineStr"/>
    </row>
  </sheetData>
  <mergeCells count="1">
    <mergeCell ref="A1:I1"/>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0"/>
  <sheetViews>
    <sheetView workbookViewId="0">
      <pane ySplit="12" topLeftCell="A13"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6" customWidth="1" min="5" max="5"/>
    <col width="17" customWidth="1" min="6" max="6"/>
    <col width="16" customWidth="1" min="7" max="7"/>
  </cols>
  <sheetData>
    <row r="1">
      <c r="A1" s="9" t="inlineStr">
        <is>
          <t>Upload format: one sheet named TimeSeries (Excel) or one CSV file, one row per time step</t>
        </is>
      </c>
    </row>
    <row r="3" ht="28" customHeight="1">
      <c r="A3" s="2" t="inlineStr">
        <is>
          <t>• File types: .xlsx (sheet 'TimeSeries', or the first sheet) or .csv (comma or semicolon separated, detected automatically). Use a full stop as the decimal mark.</t>
        </is>
      </c>
    </row>
    <row r="4" ht="28" customHeight="1">
      <c r="A4" s="2" t="inlineStr">
        <is>
          <t>• Header row: exactly the column names below, in any order. The 'hour' and 'time_utc' columns are for you; the app ignores them.</t>
        </is>
      </c>
    </row>
    <row r="5" ht="28" customHeight="1">
      <c r="A5" s="2" t="inlineStr">
        <is>
          <t>• Rows: one calendar year from 1 January 00:00 UTC. See 'Rows by resolution' for the row count at each time step.</t>
        </is>
      </c>
    </row>
    <row r="6" ht="28" customHeight="1">
      <c r="A6" s="2" t="inlineStr">
        <is>
          <t>• Missing values: short gaps are filled by linear interpolation and reported. Do not fill gaps with zeros.</t>
        </is>
      </c>
    </row>
    <row r="7" ht="28" customHeight="1">
      <c r="A7" s="2" t="inlineStr">
        <is>
          <t>• Capacity factors above 1 and up to 100 are read as percent and divided by 100; values are then limited to 0–1.</t>
        </is>
      </c>
    </row>
    <row r="8" ht="28" customHeight="1">
      <c r="A8" s="2" t="inlineStr">
        <is>
          <t>• Also accepted column names: wind (wind_cf); pv, solar, solar_cf (pv_cf); price, el_price, day_ahead (price_eur_mwh); elec_demand, demand_mw, load_mw (elec_demand_mw); h2_demand, h2_kgh (h2_demand_kgh).</t>
        </is>
      </c>
    </row>
    <row r="9" ht="28" customHeight="1">
      <c r="A9" s="2" t="inlineStr">
        <is>
          <t>• The full inputs workbook (sidebar → Save all inputs) has this TimeSeries sheet plus an Inputs sheet with every project input; uploading it restores a whole project.</t>
        </is>
      </c>
    </row>
    <row r="10" ht="28" customHeight="1">
      <c r="A10" s="2" t="inlineStr">
        <is>
          <t>• Example below: the first 48 hours of the Belle-Île 2019 series shipped with the app (yellow = your data).</t>
        </is>
      </c>
    </row>
    <row r="12">
      <c r="A12" s="10" t="inlineStr">
        <is>
          <t>hour</t>
        </is>
      </c>
      <c r="B12" s="10" t="inlineStr">
        <is>
          <t>time_utc</t>
        </is>
      </c>
      <c r="C12" s="10" t="inlineStr">
        <is>
          <t>wind_cf</t>
        </is>
      </c>
      <c r="D12" s="10" t="inlineStr">
        <is>
          <t>pv_cf</t>
        </is>
      </c>
      <c r="E12" s="10" t="inlineStr">
        <is>
          <t>price_eur_mwh</t>
        </is>
      </c>
      <c r="F12" s="10" t="inlineStr">
        <is>
          <t>elec_demand_mw</t>
        </is>
      </c>
      <c r="G12" s="10" t="inlineStr">
        <is>
          <t>h2_demand_kgh</t>
        </is>
      </c>
    </row>
    <row r="13">
      <c r="A13" s="11" t="n">
        <v>1</v>
      </c>
      <c r="B13" s="11" t="inlineStr">
        <is>
          <t>2019-01-01 00:00:00</t>
        </is>
      </c>
      <c r="C13" s="12" t="n">
        <v>0.04315</v>
      </c>
      <c r="D13" s="12" t="n">
        <v>0</v>
      </c>
      <c r="E13" s="13" t="n">
        <v>46.27</v>
      </c>
      <c r="F13" s="13" t="n"/>
      <c r="G13" s="13" t="n"/>
    </row>
    <row r="14">
      <c r="A14" s="11" t="n">
        <v>2</v>
      </c>
      <c r="B14" s="11" t="inlineStr">
        <is>
          <t>2019-01-01 01:00:00</t>
        </is>
      </c>
      <c r="C14" s="12" t="n">
        <v>0.05279</v>
      </c>
      <c r="D14" s="12" t="n">
        <v>0</v>
      </c>
      <c r="E14" s="13" t="n">
        <v>39.78</v>
      </c>
      <c r="F14" s="13" t="n"/>
      <c r="G14" s="13" t="n"/>
    </row>
    <row r="15">
      <c r="A15" s="11" t="n">
        <v>3</v>
      </c>
      <c r="B15" s="11" t="inlineStr">
        <is>
          <t>2019-01-01 02:00:00</t>
        </is>
      </c>
      <c r="C15" s="12" t="n">
        <v>0.05705</v>
      </c>
      <c r="D15" s="12" t="n">
        <v>0</v>
      </c>
      <c r="E15" s="13" t="n">
        <v>27.87</v>
      </c>
      <c r="F15" s="13" t="n"/>
      <c r="G15" s="13" t="n"/>
    </row>
    <row r="16">
      <c r="A16" s="11" t="n">
        <v>4</v>
      </c>
      <c r="B16" s="11" t="inlineStr">
        <is>
          <t>2019-01-01 03:00:00</t>
        </is>
      </c>
      <c r="C16" s="12" t="n">
        <v>0.05279</v>
      </c>
      <c r="D16" s="12" t="n">
        <v>0</v>
      </c>
      <c r="E16" s="13" t="n">
        <v>23.21</v>
      </c>
      <c r="F16" s="13" t="n"/>
      <c r="G16" s="13" t="n"/>
    </row>
    <row r="17">
      <c r="A17" s="11" t="n">
        <v>5</v>
      </c>
      <c r="B17" s="11" t="inlineStr">
        <is>
          <t>2019-01-01 04:00:00</t>
        </is>
      </c>
      <c r="C17" s="12" t="n">
        <v>0.05513</v>
      </c>
      <c r="D17" s="12" t="n">
        <v>0</v>
      </c>
      <c r="E17" s="13" t="n">
        <v>22.64</v>
      </c>
      <c r="F17" s="13" t="n"/>
      <c r="G17" s="13" t="n"/>
    </row>
    <row r="18">
      <c r="A18" s="11" t="n">
        <v>6</v>
      </c>
      <c r="B18" s="11" t="inlineStr">
        <is>
          <t>2019-01-01 05:00:00</t>
        </is>
      </c>
      <c r="C18" s="12" t="n">
        <v>0.06937</v>
      </c>
      <c r="D18" s="12" t="n">
        <v>0</v>
      </c>
      <c r="E18" s="13" t="n">
        <v>20.9</v>
      </c>
      <c r="F18" s="13" t="n"/>
      <c r="G18" s="13" t="n"/>
    </row>
    <row r="19">
      <c r="A19" s="11" t="n">
        <v>7</v>
      </c>
      <c r="B19" s="11" t="inlineStr">
        <is>
          <t>2019-01-01 06:00:00</t>
        </is>
      </c>
      <c r="C19" s="12" t="n">
        <v>0.06991</v>
      </c>
      <c r="D19" s="12" t="n">
        <v>0</v>
      </c>
      <c r="E19" s="13" t="n">
        <v>26.54</v>
      </c>
      <c r="F19" s="13" t="n"/>
      <c r="G19" s="13" t="n"/>
    </row>
    <row r="20">
      <c r="A20" s="11" t="n">
        <v>8</v>
      </c>
      <c r="B20" s="11" t="inlineStr">
        <is>
          <t>2019-01-01 07:00:00</t>
        </is>
      </c>
      <c r="C20" s="12" t="n">
        <v>0.05609</v>
      </c>
      <c r="D20" s="12" t="n">
        <v>0</v>
      </c>
      <c r="E20" s="13" t="n">
        <v>25</v>
      </c>
      <c r="F20" s="13" t="n"/>
      <c r="G20" s="13" t="n"/>
    </row>
    <row r="21">
      <c r="A21" s="11" t="n">
        <v>9</v>
      </c>
      <c r="B21" s="11" t="inlineStr">
        <is>
          <t>2019-01-01 08:00:00</t>
        </is>
      </c>
      <c r="C21" s="12" t="n">
        <v>0.04567</v>
      </c>
      <c r="D21" s="12" t="n">
        <v>0</v>
      </c>
      <c r="E21" s="13" t="n">
        <v>25</v>
      </c>
      <c r="F21" s="13" t="n"/>
      <c r="G21" s="13" t="n"/>
    </row>
    <row r="22">
      <c r="A22" s="11" t="n">
        <v>10</v>
      </c>
      <c r="B22" s="11" t="inlineStr">
        <is>
          <t>2019-01-01 09:00:00</t>
        </is>
      </c>
      <c r="C22" s="12" t="n">
        <v>0.02942</v>
      </c>
      <c r="D22" s="12" t="n">
        <v>0.03586</v>
      </c>
      <c r="E22" s="13" t="n">
        <v>34.64</v>
      </c>
      <c r="F22" s="13" t="n"/>
      <c r="G22" s="13" t="n"/>
    </row>
    <row r="23">
      <c r="A23" s="11" t="n">
        <v>11</v>
      </c>
      <c r="B23" s="11" t="inlineStr">
        <is>
          <t>2019-01-01 10:00:00</t>
        </is>
      </c>
      <c r="C23" s="12" t="n">
        <v>0.01918</v>
      </c>
      <c r="D23" s="12" t="n">
        <v>0.10373</v>
      </c>
      <c r="E23" s="13" t="n">
        <v>41.03</v>
      </c>
      <c r="F23" s="13" t="n"/>
      <c r="G23" s="13" t="n"/>
    </row>
    <row r="24">
      <c r="A24" s="11" t="n">
        <v>12</v>
      </c>
      <c r="B24" s="11" t="inlineStr">
        <is>
          <t>2019-01-01 11:00:00</t>
        </is>
      </c>
      <c r="C24" s="12" t="n">
        <v>0.00753</v>
      </c>
      <c r="D24" s="12" t="n">
        <v>0.16875</v>
      </c>
      <c r="E24" s="13" t="n">
        <v>48.97</v>
      </c>
      <c r="F24" s="13" t="n"/>
      <c r="G24" s="13" t="n"/>
    </row>
    <row r="25">
      <c r="A25" s="11" t="n">
        <v>13</v>
      </c>
      <c r="B25" s="11" t="inlineStr">
        <is>
          <t>2019-01-01 12:00:00</t>
        </is>
      </c>
      <c r="C25" s="12" t="n">
        <v>0.00548</v>
      </c>
      <c r="D25" s="12" t="n">
        <v>0.16578</v>
      </c>
      <c r="E25" s="13" t="n">
        <v>41.06</v>
      </c>
      <c r="F25" s="13" t="n"/>
      <c r="G25" s="13" t="n"/>
    </row>
    <row r="26">
      <c r="A26" s="11" t="n">
        <v>14</v>
      </c>
      <c r="B26" s="11" t="inlineStr">
        <is>
          <t>2019-01-01 13:00:00</t>
        </is>
      </c>
      <c r="C26" s="12" t="n">
        <v>0.01995</v>
      </c>
      <c r="D26" s="12" t="n">
        <v>0.20875</v>
      </c>
      <c r="E26" s="13" t="n">
        <v>37.95</v>
      </c>
      <c r="F26" s="13" t="n"/>
      <c r="G26" s="13" t="n"/>
    </row>
    <row r="27">
      <c r="A27" s="11" t="n">
        <v>15</v>
      </c>
      <c r="B27" s="11" t="inlineStr">
        <is>
          <t>2019-01-01 14:00:00</t>
        </is>
      </c>
      <c r="C27" s="12" t="n">
        <v>0.05754</v>
      </c>
      <c r="D27" s="12" t="n">
        <v>0.16445</v>
      </c>
      <c r="E27" s="13" t="n">
        <v>33.42</v>
      </c>
      <c r="F27" s="13" t="n"/>
      <c r="G27" s="13" t="n"/>
    </row>
    <row r="28">
      <c r="A28" s="11" t="n">
        <v>16</v>
      </c>
      <c r="B28" s="11" t="inlineStr">
        <is>
          <t>2019-01-01 15:00:00</t>
        </is>
      </c>
      <c r="C28" s="12" t="n">
        <v>0.0886</v>
      </c>
      <c r="D28" s="12" t="n">
        <v>0.12057</v>
      </c>
      <c r="E28" s="13" t="n">
        <v>39.8</v>
      </c>
      <c r="F28" s="13" t="n"/>
      <c r="G28" s="13" t="n"/>
    </row>
    <row r="29">
      <c r="A29" s="11" t="n">
        <v>17</v>
      </c>
      <c r="B29" s="11" t="inlineStr">
        <is>
          <t>2019-01-01 16:00:00</t>
        </is>
      </c>
      <c r="C29" s="12" t="n">
        <v>0.09111</v>
      </c>
      <c r="D29" s="12" t="n">
        <v>0.03662</v>
      </c>
      <c r="E29" s="13" t="n">
        <v>44.29</v>
      </c>
      <c r="F29" s="13" t="n"/>
      <c r="G29" s="13" t="n"/>
    </row>
    <row r="30">
      <c r="A30" s="11" t="n">
        <v>18</v>
      </c>
      <c r="B30" s="11" t="inlineStr">
        <is>
          <t>2019-01-01 17:00:00</t>
        </is>
      </c>
      <c r="C30" s="12" t="n">
        <v>0.0849</v>
      </c>
      <c r="D30" s="12" t="n">
        <v>0.00269</v>
      </c>
      <c r="E30" s="13" t="n">
        <v>62.65</v>
      </c>
      <c r="F30" s="13" t="n"/>
      <c r="G30" s="13" t="n"/>
    </row>
    <row r="31">
      <c r="A31" s="11" t="n">
        <v>19</v>
      </c>
      <c r="B31" s="11" t="inlineStr">
        <is>
          <t>2019-01-01 18:00:00</t>
        </is>
      </c>
      <c r="C31" s="12" t="n">
        <v>0.13066</v>
      </c>
      <c r="D31" s="12" t="n">
        <v>0</v>
      </c>
      <c r="E31" s="13" t="n">
        <v>65.56</v>
      </c>
      <c r="F31" s="13" t="n"/>
      <c r="G31" s="13" t="n"/>
    </row>
    <row r="32">
      <c r="A32" s="11" t="n">
        <v>20</v>
      </c>
      <c r="B32" s="11" t="inlineStr">
        <is>
          <t>2019-01-01 19:00:00</t>
        </is>
      </c>
      <c r="C32" s="12" t="n">
        <v>0.17573</v>
      </c>
      <c r="D32" s="12" t="n">
        <v>0</v>
      </c>
      <c r="E32" s="13" t="n">
        <v>61.27</v>
      </c>
      <c r="F32" s="13" t="n"/>
      <c r="G32" s="13" t="n"/>
    </row>
    <row r="33">
      <c r="A33" s="11" t="n">
        <v>21</v>
      </c>
      <c r="B33" s="11" t="inlineStr">
        <is>
          <t>2019-01-01 20:00:00</t>
        </is>
      </c>
      <c r="C33" s="12" t="n">
        <v>0.2177</v>
      </c>
      <c r="D33" s="12" t="n">
        <v>0</v>
      </c>
      <c r="E33" s="13" t="n">
        <v>57.41</v>
      </c>
      <c r="F33" s="13" t="n"/>
      <c r="G33" s="13" t="n"/>
    </row>
    <row r="34">
      <c r="A34" s="11" t="n">
        <v>22</v>
      </c>
      <c r="B34" s="11" t="inlineStr">
        <is>
          <t>2019-01-01 21:00:00</t>
        </is>
      </c>
      <c r="C34" s="12" t="n">
        <v>0.21258</v>
      </c>
      <c r="D34" s="12" t="n">
        <v>0</v>
      </c>
      <c r="E34" s="13" t="n">
        <v>58.65</v>
      </c>
      <c r="F34" s="13" t="n"/>
      <c r="G34" s="13" t="n"/>
    </row>
    <row r="35">
      <c r="A35" s="11" t="n">
        <v>23</v>
      </c>
      <c r="B35" s="11" t="inlineStr">
        <is>
          <t>2019-01-01 22:00:00</t>
        </is>
      </c>
      <c r="C35" s="12" t="n">
        <v>0.27306</v>
      </c>
      <c r="D35" s="12" t="n">
        <v>0</v>
      </c>
      <c r="E35" s="13" t="n">
        <v>54.91</v>
      </c>
      <c r="F35" s="13" t="n"/>
      <c r="G35" s="13" t="n"/>
    </row>
    <row r="36">
      <c r="A36" s="11" t="n">
        <v>24</v>
      </c>
      <c r="B36" s="11" t="inlineStr">
        <is>
          <t>2019-01-01 23:00:00</t>
        </is>
      </c>
      <c r="C36" s="12" t="n">
        <v>0.2177</v>
      </c>
      <c r="D36" s="12" t="n">
        <v>0</v>
      </c>
      <c r="E36" s="13" t="n">
        <v>53.11</v>
      </c>
      <c r="F36" s="13" t="n"/>
      <c r="G36" s="13" t="n"/>
    </row>
    <row r="37">
      <c r="A37" s="11" t="n">
        <v>25</v>
      </c>
      <c r="B37" s="11" t="inlineStr">
        <is>
          <t>2019-01-02 00:00:00</t>
        </is>
      </c>
      <c r="C37" s="12" t="n">
        <v>0.14845</v>
      </c>
      <c r="D37" s="12" t="n">
        <v>0</v>
      </c>
      <c r="E37" s="13" t="n">
        <v>45.87</v>
      </c>
      <c r="F37" s="13" t="n"/>
      <c r="G37" s="13" t="n"/>
    </row>
    <row r="38">
      <c r="A38" s="11" t="n">
        <v>26</v>
      </c>
      <c r="B38" s="11" t="inlineStr">
        <is>
          <t>2019-01-02 01:00:00</t>
        </is>
      </c>
      <c r="C38" s="12" t="n">
        <v>0.06151</v>
      </c>
      <c r="D38" s="12" t="n">
        <v>0</v>
      </c>
      <c r="E38" s="13" t="n">
        <v>39.15</v>
      </c>
      <c r="F38" s="13" t="n"/>
      <c r="G38" s="13" t="n"/>
    </row>
    <row r="39">
      <c r="A39" s="11" t="n">
        <v>27</v>
      </c>
      <c r="B39" s="11" t="inlineStr">
        <is>
          <t>2019-01-02 02:00:00</t>
        </is>
      </c>
      <c r="C39" s="12" t="n">
        <v>0.01146</v>
      </c>
      <c r="D39" s="12" t="n">
        <v>0</v>
      </c>
      <c r="E39" s="13" t="n">
        <v>25.84</v>
      </c>
      <c r="F39" s="13" t="n"/>
      <c r="G39" s="13" t="n"/>
    </row>
    <row r="40">
      <c r="A40" s="11" t="n">
        <v>28</v>
      </c>
      <c r="B40" s="11" t="inlineStr">
        <is>
          <t>2019-01-02 03:00:00</t>
        </is>
      </c>
      <c r="C40" s="12" t="n">
        <v>0.03535</v>
      </c>
      <c r="D40" s="12" t="n">
        <v>0</v>
      </c>
      <c r="E40" s="13" t="n">
        <v>28.36</v>
      </c>
      <c r="F40" s="13" t="n"/>
      <c r="G40" s="13" t="n"/>
    </row>
    <row r="41">
      <c r="A41" s="11" t="n">
        <v>29</v>
      </c>
      <c r="B41" s="11" t="inlineStr">
        <is>
          <t>2019-01-02 04:00:00</t>
        </is>
      </c>
      <c r="C41" s="12" t="n">
        <v>0.10916</v>
      </c>
      <c r="D41" s="12" t="n">
        <v>0</v>
      </c>
      <c r="E41" s="13" t="n">
        <v>30.72</v>
      </c>
      <c r="F41" s="13" t="n"/>
      <c r="G41" s="13" t="n"/>
    </row>
    <row r="42">
      <c r="A42" s="11" t="n">
        <v>30</v>
      </c>
      <c r="B42" s="11" t="inlineStr">
        <is>
          <t>2019-01-02 05:00:00</t>
        </is>
      </c>
      <c r="C42" s="12" t="n">
        <v>0.15958</v>
      </c>
      <c r="D42" s="12" t="n">
        <v>0</v>
      </c>
      <c r="E42" s="13" t="n">
        <v>51.1</v>
      </c>
      <c r="F42" s="13" t="n"/>
      <c r="G42" s="13" t="n"/>
    </row>
    <row r="43">
      <c r="A43" s="11" t="n">
        <v>31</v>
      </c>
      <c r="B43" s="11" t="inlineStr">
        <is>
          <t>2019-01-02 06:00:00</t>
        </is>
      </c>
      <c r="C43" s="12" t="n">
        <v>0.20154</v>
      </c>
      <c r="D43" s="12" t="n">
        <v>0</v>
      </c>
      <c r="E43" s="13" t="n">
        <v>58.37</v>
      </c>
      <c r="F43" s="13" t="n"/>
      <c r="G43" s="13" t="n"/>
    </row>
    <row r="44">
      <c r="A44" s="11" t="n">
        <v>32</v>
      </c>
      <c r="B44" s="11" t="inlineStr">
        <is>
          <t>2019-01-02 07:00:00</t>
        </is>
      </c>
      <c r="C44" s="12" t="n">
        <v>0.19467</v>
      </c>
      <c r="D44" s="12" t="n">
        <v>0</v>
      </c>
      <c r="E44" s="13" t="n">
        <v>56.82</v>
      </c>
      <c r="F44" s="13" t="n"/>
      <c r="G44" s="13" t="n"/>
    </row>
    <row r="45">
      <c r="A45" s="11" t="n">
        <v>33</v>
      </c>
      <c r="B45" s="11" t="inlineStr">
        <is>
          <t>2019-01-02 08:00:00</t>
        </is>
      </c>
      <c r="C45" s="12" t="n">
        <v>0.27534</v>
      </c>
      <c r="D45" s="12" t="n">
        <v>0</v>
      </c>
      <c r="E45" s="13" t="n">
        <v>57.44</v>
      </c>
      <c r="F45" s="13" t="n"/>
      <c r="G45" s="13" t="n"/>
    </row>
    <row r="46">
      <c r="A46" s="11" t="n">
        <v>34</v>
      </c>
      <c r="B46" s="11" t="inlineStr">
        <is>
          <t>2019-01-02 09:00:00</t>
        </is>
      </c>
      <c r="C46" s="12" t="n">
        <v>0.37797</v>
      </c>
      <c r="D46" s="12" t="n">
        <v>0.03222</v>
      </c>
      <c r="E46" s="13" t="n">
        <v>61.09</v>
      </c>
      <c r="F46" s="13" t="n"/>
      <c r="G46" s="13" t="n"/>
    </row>
    <row r="47">
      <c r="A47" s="11" t="n">
        <v>35</v>
      </c>
      <c r="B47" s="11" t="inlineStr">
        <is>
          <t>2019-01-02 10:00:00</t>
        </is>
      </c>
      <c r="C47" s="12" t="n">
        <v>0.36697</v>
      </c>
      <c r="D47" s="12" t="n">
        <v>0.11415</v>
      </c>
      <c r="E47" s="13" t="n">
        <v>63.63</v>
      </c>
      <c r="F47" s="13" t="n"/>
      <c r="G47" s="13" t="n"/>
    </row>
    <row r="48">
      <c r="A48" s="11" t="n">
        <v>36</v>
      </c>
      <c r="B48" s="11" t="inlineStr">
        <is>
          <t>2019-01-02 11:00:00</t>
        </is>
      </c>
      <c r="C48" s="12" t="n">
        <v>0.38777</v>
      </c>
      <c r="D48" s="12" t="n">
        <v>0.19625</v>
      </c>
      <c r="E48" s="13" t="n">
        <v>62.8</v>
      </c>
      <c r="F48" s="13" t="n"/>
      <c r="G48" s="13" t="n"/>
    </row>
    <row r="49">
      <c r="A49" s="11" t="n">
        <v>37</v>
      </c>
      <c r="B49" s="11" t="inlineStr">
        <is>
          <t>2019-01-02 12:00:00</t>
        </is>
      </c>
      <c r="C49" s="12" t="n">
        <v>0.39022</v>
      </c>
      <c r="D49" s="12" t="n">
        <v>0.19159</v>
      </c>
      <c r="E49" s="13" t="n">
        <v>58.65</v>
      </c>
      <c r="F49" s="13" t="n"/>
      <c r="G49" s="13" t="n"/>
    </row>
    <row r="50">
      <c r="A50" s="11" t="n">
        <v>38</v>
      </c>
      <c r="B50" s="11" t="inlineStr">
        <is>
          <t>2019-01-02 13:00:00</t>
        </is>
      </c>
      <c r="C50" s="12" t="n">
        <v>0.35477</v>
      </c>
      <c r="D50" s="12" t="n">
        <v>0.08152</v>
      </c>
      <c r="E50" s="13" t="n">
        <v>55.64</v>
      </c>
      <c r="F50" s="13" t="n"/>
      <c r="G50" s="13" t="n"/>
    </row>
    <row r="51">
      <c r="A51" s="11" t="n">
        <v>39</v>
      </c>
      <c r="B51" s="11" t="inlineStr">
        <is>
          <t>2019-01-02 14:00:00</t>
        </is>
      </c>
      <c r="C51" s="12" t="n">
        <v>0.31976</v>
      </c>
      <c r="D51" s="12" t="n">
        <v>0.10194</v>
      </c>
      <c r="E51" s="13" t="n">
        <v>56.72</v>
      </c>
      <c r="F51" s="13" t="n"/>
      <c r="G51" s="13" t="n"/>
    </row>
    <row r="52">
      <c r="A52" s="11" t="n">
        <v>40</v>
      </c>
      <c r="B52" s="11" t="inlineStr">
        <is>
          <t>2019-01-02 15:00:00</t>
        </is>
      </c>
      <c r="C52" s="12" t="n">
        <v>0.33416</v>
      </c>
      <c r="D52" s="12" t="n">
        <v>0.09100999999999999</v>
      </c>
      <c r="E52" s="13" t="n">
        <v>62.19</v>
      </c>
      <c r="F52" s="13" t="n"/>
      <c r="G52" s="13" t="n"/>
    </row>
    <row r="53">
      <c r="A53" s="11" t="n">
        <v>41</v>
      </c>
      <c r="B53" s="11" t="inlineStr">
        <is>
          <t>2019-01-02 16:00:00</t>
        </is>
      </c>
      <c r="C53" s="12" t="n">
        <v>0.35355</v>
      </c>
      <c r="D53" s="12" t="n">
        <v>0.05717</v>
      </c>
      <c r="E53" s="13" t="n">
        <v>67.09999999999999</v>
      </c>
      <c r="F53" s="13" t="n"/>
      <c r="G53" s="13" t="n"/>
    </row>
    <row r="54">
      <c r="A54" s="11" t="n">
        <v>42</v>
      </c>
      <c r="B54" s="11" t="inlineStr">
        <is>
          <t>2019-01-02 17:00:00</t>
        </is>
      </c>
      <c r="C54" s="12" t="n">
        <v>0.29964</v>
      </c>
      <c r="D54" s="12" t="n">
        <v>0.00362</v>
      </c>
      <c r="E54" s="13" t="n">
        <v>69.3</v>
      </c>
      <c r="F54" s="13" t="n"/>
      <c r="G54" s="13" t="n"/>
    </row>
    <row r="55">
      <c r="A55" s="11" t="n">
        <v>43</v>
      </c>
      <c r="B55" s="11" t="inlineStr">
        <is>
          <t>2019-01-02 18:00:00</t>
        </is>
      </c>
      <c r="C55" s="12" t="n">
        <v>0.32815</v>
      </c>
      <c r="D55" s="12" t="n">
        <v>0</v>
      </c>
      <c r="E55" s="13" t="n">
        <v>69.25</v>
      </c>
      <c r="F55" s="13" t="n"/>
      <c r="G55" s="13" t="n"/>
    </row>
    <row r="56">
      <c r="A56" s="11" t="n">
        <v>44</v>
      </c>
      <c r="B56" s="11" t="inlineStr">
        <is>
          <t>2019-01-02 19:00:00</t>
        </is>
      </c>
      <c r="C56" s="12" t="n">
        <v>0.38409</v>
      </c>
      <c r="D56" s="12" t="n">
        <v>0</v>
      </c>
      <c r="E56" s="13" t="n">
        <v>63.43</v>
      </c>
      <c r="F56" s="13" t="n"/>
      <c r="G56" s="13" t="n"/>
    </row>
    <row r="57">
      <c r="A57" s="11" t="n">
        <v>45</v>
      </c>
      <c r="B57" s="11" t="inlineStr">
        <is>
          <t>2019-01-02 20:00:00</t>
        </is>
      </c>
      <c r="C57" s="12" t="n">
        <v>0.43775</v>
      </c>
      <c r="D57" s="12" t="n">
        <v>0</v>
      </c>
      <c r="E57" s="13" t="n">
        <v>55.64</v>
      </c>
      <c r="F57" s="13" t="n"/>
      <c r="G57" s="13" t="n"/>
    </row>
    <row r="58">
      <c r="A58" s="11" t="n">
        <v>46</v>
      </c>
      <c r="B58" s="11" t="inlineStr">
        <is>
          <t>2019-01-02 21:00:00</t>
        </is>
      </c>
      <c r="C58" s="12" t="n">
        <v>0.4665</v>
      </c>
      <c r="D58" s="12" t="n">
        <v>0</v>
      </c>
      <c r="E58" s="13" t="n">
        <v>55.97</v>
      </c>
      <c r="F58" s="13" t="n"/>
      <c r="G58" s="13" t="n"/>
    </row>
    <row r="59">
      <c r="A59" s="11" t="n">
        <v>47</v>
      </c>
      <c r="B59" s="11" t="inlineStr">
        <is>
          <t>2019-01-02 22:00:00</t>
        </is>
      </c>
      <c r="C59" s="12" t="n">
        <v>0.50717</v>
      </c>
      <c r="D59" s="12" t="n">
        <v>0</v>
      </c>
      <c r="E59" s="13" t="n">
        <v>54.31</v>
      </c>
      <c r="F59" s="13" t="n"/>
      <c r="G59" s="13" t="n"/>
    </row>
    <row r="60">
      <c r="A60" s="11" t="n">
        <v>48</v>
      </c>
      <c r="B60" s="11" t="inlineStr">
        <is>
          <t>2019-01-02 23:00:00</t>
        </is>
      </c>
      <c r="C60" s="12" t="n">
        <v>0.54369</v>
      </c>
      <c r="D60" s="12" t="n">
        <v>0</v>
      </c>
      <c r="E60" s="13" t="n">
        <v>47.03</v>
      </c>
      <c r="F60" s="13" t="n"/>
      <c r="G60" s="13" t="n"/>
    </row>
  </sheetData>
  <mergeCells count="8">
    <mergeCell ref="A9:G9"/>
    <mergeCell ref="A8:G8"/>
    <mergeCell ref="A3:G3"/>
    <mergeCell ref="A6:G6"/>
    <mergeCell ref="A4:G4"/>
    <mergeCell ref="A7:G7"/>
    <mergeCell ref="A10:G10"/>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4" customWidth="1" min="1" max="1"/>
    <col width="16" customWidth="1" min="2" max="2"/>
    <col width="20" customWidth="1" min="3" max="3"/>
    <col width="18" customWidth="1" min="4" max="4"/>
    <col width="12" customWidth="1" min="5" max="5"/>
  </cols>
  <sheetData>
    <row r="1">
      <c r="A1" s="14" t="inlineStr">
        <is>
          <t>Rows a one-year file must have at each time step (the app averages sub-hourly data to hours)</t>
        </is>
      </c>
    </row>
    <row r="3">
      <c r="A3" s="10" t="inlineStr">
        <is>
          <t>Time step</t>
        </is>
      </c>
      <c r="B3" s="10" t="inlineStr">
        <is>
          <t>Steps per hour</t>
        </is>
      </c>
      <c r="C3" s="10" t="inlineStr">
        <is>
          <t>Rows, normal year</t>
        </is>
      </c>
      <c r="D3" s="10" t="inlineStr">
        <is>
          <t>Rows, leap year</t>
        </is>
      </c>
      <c r="E3" s="10" t="inlineStr">
        <is>
          <t>Accepted</t>
        </is>
      </c>
    </row>
    <row r="4">
      <c r="A4" s="15" t="inlineStr">
        <is>
          <t>60 minutes (hourly)</t>
        </is>
      </c>
      <c r="B4" s="16" t="n">
        <v>1</v>
      </c>
      <c r="C4" s="17">
        <f>8760*B4</f>
        <v/>
      </c>
      <c r="D4" s="17">
        <f>8784*B4</f>
        <v/>
      </c>
      <c r="E4" s="15" t="inlineStr">
        <is>
          <t>yes</t>
        </is>
      </c>
    </row>
    <row r="5">
      <c r="A5" s="15" t="inlineStr">
        <is>
          <t>30 minutes</t>
        </is>
      </c>
      <c r="B5" s="16" t="n">
        <v>2</v>
      </c>
      <c r="C5" s="17">
        <f>8760*B5</f>
        <v/>
      </c>
      <c r="D5" s="17">
        <f>8784*B5</f>
        <v/>
      </c>
      <c r="E5" s="15" t="inlineStr">
        <is>
          <t>yes</t>
        </is>
      </c>
    </row>
    <row r="6">
      <c r="A6" s="15" t="inlineStr">
        <is>
          <t>15 minutes</t>
        </is>
      </c>
      <c r="B6" s="16" t="n">
        <v>4</v>
      </c>
      <c r="C6" s="17">
        <f>8760*B6</f>
        <v/>
      </c>
      <c r="D6" s="17">
        <f>8784*B6</f>
        <v/>
      </c>
      <c r="E6" s="15" t="inlineStr">
        <is>
          <t>yes</t>
        </is>
      </c>
    </row>
    <row r="7">
      <c r="A7" s="15" t="inlineStr">
        <is>
          <t>10 minutes</t>
        </is>
      </c>
      <c r="B7" s="16" t="n">
        <v>6</v>
      </c>
      <c r="C7" s="17">
        <f>8760*B7</f>
        <v/>
      </c>
      <c r="D7" s="17">
        <f>8784*B7</f>
        <v/>
      </c>
      <c r="E7" s="15" t="inlineStr">
        <is>
          <t>yes</t>
        </is>
      </c>
    </row>
    <row r="8">
      <c r="A8" s="15" t="inlineStr">
        <is>
          <t>5 minutes</t>
        </is>
      </c>
      <c r="B8" s="16" t="n">
        <v>12</v>
      </c>
      <c r="C8" s="17">
        <f>8760*B8</f>
        <v/>
      </c>
      <c r="D8" s="17">
        <f>8784*B8</f>
        <v/>
      </c>
      <c r="E8" s="15" t="inlineStr">
        <is>
          <t>yes</t>
        </is>
      </c>
    </row>
    <row r="10">
      <c r="A10" s="18" t="inlineStr">
        <is>
          <t>Hours per normal year: 8,760 = 365 × 24. Leap year: 8,784; the app removes 29 February (24 hours × steps per hour) so every year has 8,760 hours.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6"/>
  <sheetViews>
    <sheetView workbookViewId="0">
      <pane ySplit="3" topLeftCell="A4" activePane="bottomLeft" state="frozen"/>
      <selection pane="bottomLeft" activeCell="A1" sqref="A1"/>
    </sheetView>
  </sheetViews>
  <sheetFormatPr baseColWidth="8" defaultRowHeight="15"/>
  <cols>
    <col width="16" customWidth="1" min="1" max="1"/>
    <col width="28" customWidth="1" min="2" max="2"/>
    <col width="40" customWidth="1" min="3" max="3"/>
    <col width="12" customWidth="1" min="4" max="4"/>
    <col width="16" customWidth="1" min="5" max="5"/>
    <col width="26" customWidth="1" min="6" max="6"/>
    <col width="14" customWidth="1" min="7" max="7"/>
    <col width="12" customWidth="1" min="8" max="8"/>
    <col width="50" customWidth="1" min="9" max="9"/>
    <col width="50" customWidth="1" min="10" max="10"/>
    <col width="70" customWidth="1" min="11" max="11"/>
  </cols>
  <sheetData>
    <row r="1" ht="42" customHeight="1">
      <c r="A1" s="5" t="inlineStr">
        <is>
          <t>Every input is also in the app's inputs workbook (sheet 'Inputs', column 'value'). Cables, converters, reactors, pipelines and compressors follow manufacturer data, published cost functions and the ACER 2026 unit investment cost indicators. 'Placeholder until Step 3' marks costs with no referenced value yet, kept from the v9 model or assumed until referenced values replace them.</t>
        </is>
      </c>
    </row>
    <row r="3">
      <c r="A3" s="6" t="inlineStr">
        <is>
          <t>Group</t>
        </is>
      </c>
      <c r="B3" s="6" t="inlineStr">
        <is>
          <t>Key (Inputs sheet)</t>
        </is>
      </c>
      <c r="C3" s="6" t="inlineStr">
        <is>
          <t>Input</t>
        </is>
      </c>
      <c r="D3" s="6" t="inlineStr">
        <is>
          <t>Unit</t>
        </is>
      </c>
      <c r="E3" s="6" t="inlineStr">
        <is>
          <t>Default in the app</t>
        </is>
      </c>
      <c r="F3" s="6" t="inlineStr">
        <is>
          <t>Options</t>
        </is>
      </c>
      <c r="G3" s="6" t="inlineStr">
        <is>
          <t>Placeholder until Step 3</t>
        </is>
      </c>
      <c r="H3" s="6" t="inlineStr">
        <is>
          <t>Shown under</t>
        </is>
      </c>
      <c r="I3" s="6" t="inlineStr">
        <is>
          <t>Help</t>
        </is>
      </c>
      <c r="J3" s="6" t="inlineStr">
        <is>
          <t>Source of the default</t>
        </is>
      </c>
      <c r="K3" s="6" t="inlineStr">
        <is>
          <t>Where to look it up</t>
        </is>
      </c>
    </row>
    <row r="4">
      <c r="A4" s="7" t="inlineStr">
        <is>
          <t>Use case</t>
        </is>
      </c>
      <c r="B4" s="7" t="inlineStr">
        <is>
          <t>use_case</t>
        </is>
      </c>
      <c r="C4" s="7" t="inlineStr">
        <is>
          <t>What the island supplies</t>
        </is>
      </c>
      <c r="D4" s="7" t="inlineStr">
        <is>
          <t>-</t>
        </is>
      </c>
      <c r="E4" s="7" t="inlineStr">
        <is>
          <t>Hybrid</t>
        </is>
      </c>
      <c r="F4" s="7" t="inlineStr">
        <is>
          <t>Power-led, Hydrogen-led, Hybrid</t>
        </is>
      </c>
      <c r="G4" s="7" t="n"/>
      <c r="H4" s="7" t="n"/>
      <c r="I4" s="7" t="inlineStr">
        <is>
          <t>Power-led: electricity to the grid, hydrogen only as internal storage. Hydrogen-led: hydrogen to an offtaker, electricity optional. Hybrid: both contracts.</t>
        </is>
      </c>
      <c r="J4" s="7" t="n"/>
      <c r="K4" s="7" t="inlineStr">
        <is>
          <t>Your offtake contracts and project brief. CfD strikes: national tender results (e.g. AO5 award for Bretagne Sud). PPA prices: your counterparty or a market price index.</t>
        </is>
      </c>
    </row>
    <row r="5">
      <c r="A5" s="7" t="inlineStr">
        <is>
          <t>Use case</t>
        </is>
      </c>
      <c r="B5" s="7" t="inlineStr">
        <is>
          <t>annual_demand_mwh</t>
        </is>
      </c>
      <c r="C5" s="7" t="inlineStr">
        <is>
          <t>Electricity to deliver per year</t>
        </is>
      </c>
      <c r="D5" s="7" t="inlineStr">
        <is>
          <t>MWh/yr</t>
        </is>
      </c>
      <c r="E5" s="7" t="n">
        <v>200000</v>
      </c>
      <c r="F5" s="7" t="n"/>
      <c r="G5" s="7" t="n"/>
      <c r="H5" s="7" t="n"/>
      <c r="I5" s="7" t="inlineStr">
        <is>
          <t>Contracted electricity at the grid point. Ignored in merchant and CfD modes, where volume is free.</t>
        </is>
      </c>
      <c r="J5" s="7" t="n"/>
      <c r="K5" s="7" t="inlineStr">
        <is>
          <t>Your offtake contracts and project brief. CfD strikes: national tender results (e.g. AO5 award for Bretagne Sud). PPA prices: your counterparty or a market price index.</t>
        </is>
      </c>
    </row>
    <row r="6">
      <c r="A6" s="7" t="inlineStr">
        <is>
          <t>Use case</t>
        </is>
      </c>
      <c r="B6" s="7" t="inlineStr">
        <is>
          <t>annual_h2_demand_kg</t>
        </is>
      </c>
      <c r="C6" s="7" t="inlineStr">
        <is>
          <t>Hydrogen to deliver per year</t>
        </is>
      </c>
      <c r="D6" s="7" t="inlineStr">
        <is>
          <t>kg/yr</t>
        </is>
      </c>
      <c r="E6" s="7" t="n">
        <v>2000000</v>
      </c>
      <c r="F6" s="7" t="n"/>
      <c r="G6" s="7" t="n"/>
      <c r="H6" s="7" t="n"/>
      <c r="I6" s="7" t="n"/>
      <c r="J6" s="7" t="n"/>
      <c r="K6" s="7" t="inlineStr">
        <is>
          <t>Your offtake contracts and project brief. CfD strikes: national tender results (e.g. AO5 award for Bretagne Sud). PPA prices: your counterparty or a market price index.</t>
        </is>
      </c>
    </row>
    <row r="7">
      <c r="A7" s="7" t="inlineStr">
        <is>
          <t>Use case</t>
        </is>
      </c>
      <c r="B7" s="7" t="inlineStr">
        <is>
          <t>elec_delivery</t>
        </is>
      </c>
      <c r="C7" s="7" t="inlineStr">
        <is>
          <t>Electricity delivery profile</t>
        </is>
      </c>
      <c r="D7" s="7" t="inlineStr">
        <is>
          <t>-</t>
        </is>
      </c>
      <c r="E7" s="7" t="inlineStr">
        <is>
          <t>annual</t>
        </is>
      </c>
      <c r="F7" s="7" t="inlineStr">
        <is>
          <t>annual, firm, profile</t>
        </is>
      </c>
      <c r="G7" s="7" t="n"/>
      <c r="H7" s="7" t="n"/>
      <c r="I7" s="7" t="inlineStr">
        <is>
          <t>annual: only the yearly volume counts. firm: the same power every hour. profile: follow the hourly profile uploaded with the time series (column elec_demand_mw).</t>
        </is>
      </c>
      <c r="J7" s="7" t="n"/>
      <c r="K7" s="7" t="inlineStr">
        <is>
          <t>Your offtake contracts and project brief. CfD strikes: national tender results (e.g. AO5 award for Bretagne Sud). PPA prices: your counterparty or a market price index.</t>
        </is>
      </c>
    </row>
    <row r="8">
      <c r="A8" s="7" t="inlineStr">
        <is>
          <t>Use case</t>
        </is>
      </c>
      <c r="B8" s="7" t="inlineStr">
        <is>
          <t>h2_delivery</t>
        </is>
      </c>
      <c r="C8" s="7" t="inlineStr">
        <is>
          <t>Hydrogen delivery profile</t>
        </is>
      </c>
      <c r="D8" s="7" t="inlineStr">
        <is>
          <t>-</t>
        </is>
      </c>
      <c r="E8" s="7" t="inlineStr">
        <is>
          <t>annual</t>
        </is>
      </c>
      <c r="F8" s="7" t="inlineStr">
        <is>
          <t>annual, firm, profile</t>
        </is>
      </c>
      <c r="G8" s="7" t="n"/>
      <c r="H8" s="7" t="n"/>
      <c r="I8" s="7" t="inlineStr">
        <is>
          <t>As for electricity; profile uses column h2_demand_kgh.</t>
        </is>
      </c>
      <c r="J8" s="7" t="n"/>
      <c r="K8" s="7" t="inlineStr">
        <is>
          <t>Your offtake contracts and project brief. CfD strikes: national tender results (e.g. AO5 award for Bretagne Sud). PPA prices: your counterparty or a market price index.</t>
        </is>
      </c>
    </row>
    <row r="9">
      <c r="A9" s="7" t="inlineStr">
        <is>
          <t>Use case</t>
        </is>
      </c>
      <c r="B9" s="7" t="inlineStr">
        <is>
          <t>elec_revenue</t>
        </is>
      </c>
      <c r="C9" s="7" t="inlineStr">
        <is>
          <t>Electricity revenue</t>
        </is>
      </c>
      <c r="D9" s="7" t="inlineStr">
        <is>
          <t>-</t>
        </is>
      </c>
      <c r="E9" s="7" t="inlineStr">
        <is>
          <t>ppa</t>
        </is>
      </c>
      <c r="F9" s="7" t="inlineStr">
        <is>
          <t>ppa, merchant, cfd</t>
        </is>
      </c>
      <c r="G9" s="7" t="n"/>
      <c r="H9" s="7" t="n"/>
      <c r="I9" s="7" t="inlineStr">
        <is>
          <t>ppa: fixed volume at the PPA price. merchant: every MWh sold at the hourly day-ahead price. cfd: two-sided contract for difference, strike price paid in hours with non-negative price (French offshore scheme).</t>
        </is>
      </c>
      <c r="J9" s="7" t="n"/>
      <c r="K9" s="7" t="inlineStr">
        <is>
          <t>Your offtake contracts and project brief. CfD strikes: national tender results (e.g. AO5 award for Bretagne Sud). PPA prices: your counterparty or a market price index.</t>
        </is>
      </c>
    </row>
    <row r="10">
      <c r="A10" s="7" t="inlineStr">
        <is>
          <t>Use case</t>
        </is>
      </c>
      <c r="B10" s="7" t="inlineStr">
        <is>
          <t>ppa_price_eur_mwh</t>
        </is>
      </c>
      <c r="C10" s="7" t="inlineStr">
        <is>
          <t>PPA price</t>
        </is>
      </c>
      <c r="D10" s="7" t="inlineStr">
        <is>
          <t>EUR/MWh</t>
        </is>
      </c>
      <c r="E10" s="7" t="n">
        <v>100</v>
      </c>
      <c r="F10" s="7" t="n"/>
      <c r="G10" s="7" t="n"/>
      <c r="H10" s="7" t="n"/>
      <c r="I10" s="7" t="n"/>
      <c r="J10" s="7" t="n"/>
      <c r="K10" s="7" t="inlineStr">
        <is>
          <t>Your offtake contracts and project brief. CfD strikes: national tender results (e.g. AO5 award for Bretagne Sud). PPA prices: your counterparty or a market price index.</t>
        </is>
      </c>
    </row>
    <row r="11">
      <c r="A11" s="7" t="inlineStr">
        <is>
          <t>Use case</t>
        </is>
      </c>
      <c r="B11" s="7" t="inlineStr">
        <is>
          <t>cfd_strike_eur_mwh</t>
        </is>
      </c>
      <c r="C11" s="7" t="inlineStr">
        <is>
          <t>CfD strike price</t>
        </is>
      </c>
      <c r="D11" s="7" t="inlineStr">
        <is>
          <t>EUR/MWh</t>
        </is>
      </c>
      <c r="E11" s="7" t="n">
        <v>86.45</v>
      </c>
      <c r="F11" s="7" t="n"/>
      <c r="G11" s="7" t="n"/>
      <c r="H11" s="7" t="n"/>
      <c r="I11" s="7" t="inlineStr">
        <is>
          <t>Bretagne Sud 1 (Pennavel) award, 15 May 2024: EUR 86.45/MWh.</t>
        </is>
      </c>
      <c r="J11" s="7" t="n"/>
      <c r="K11" s="7" t="inlineStr">
        <is>
          <t>Your offtake contracts and project brief. CfD strikes: national tender results (e.g. AO5 award for Bretagne Sud). PPA prices: your counterparty or a market price index.</t>
        </is>
      </c>
    </row>
    <row r="12">
      <c r="A12" s="7" t="inlineStr">
        <is>
          <t>Use case</t>
        </is>
      </c>
      <c r="B12" s="7" t="inlineStr">
        <is>
          <t>h2_price_eur_kg</t>
        </is>
      </c>
      <c r="C12" s="7" t="inlineStr">
        <is>
          <t>Hydrogen sales price</t>
        </is>
      </c>
      <c r="D12" s="7" t="inlineStr">
        <is>
          <t>EUR/kg</t>
        </is>
      </c>
      <c r="E12" s="7" t="n">
        <v>6</v>
      </c>
      <c r="F12" s="7" t="n"/>
      <c r="G12" s="7" t="n"/>
      <c r="H12" s="7" t="n"/>
      <c r="I12" s="7" t="n"/>
      <c r="J12" s="7" t="n"/>
      <c r="K12" s="7" t="inlineStr">
        <is>
          <t>Your offtake contracts and project brief. CfD strikes: national tender results (e.g. AO5 award for Bretagne Sud). PPA prices: your counterparty or a market price index.</t>
        </is>
      </c>
    </row>
    <row r="13">
      <c r="A13" s="7" t="inlineStr">
        <is>
          <t>Use case</t>
        </is>
      </c>
      <c r="B13" s="7" t="inlineStr">
        <is>
          <t>sell_surplus</t>
        </is>
      </c>
      <c r="C13" s="7" t="inlineStr">
        <is>
          <t>Sell the other carrier as a by-product</t>
        </is>
      </c>
      <c r="D13" s="7" t="inlineStr">
        <is>
          <t>-</t>
        </is>
      </c>
      <c r="E13" s="7" t="inlineStr">
        <is>
          <t>False</t>
        </is>
      </c>
      <c r="F13" s="7" t="n"/>
      <c r="G13" s="7" t="n"/>
      <c r="H13" s="7" t="n"/>
      <c r="I13" s="7" t="inlineStr">
        <is>
          <t>Power-led: sell hydrogen made from surplus power at the hydrogen price. Hydrogen-led: sell surplus electricity (merchant or CfD). Off: only the main product earns revenue.</t>
        </is>
      </c>
      <c r="J13" s="7" t="n"/>
      <c r="K13" s="7" t="inlineStr">
        <is>
          <t>Your offtake contracts and project brief. CfD strikes: national tender results (e.g. AO5 award for Bretagne Sud). PPA prices: your counterparty or a market price index.</t>
        </is>
      </c>
    </row>
    <row r="14">
      <c r="A14" s="7" t="inlineStr">
        <is>
          <t>Use case</t>
        </is>
      </c>
      <c r="B14" s="7" t="inlineStr">
        <is>
          <t>grid_injection_cap_mw</t>
        </is>
      </c>
      <c r="C14" s="7" t="inlineStr">
        <is>
          <t>Maximum grid injection</t>
        </is>
      </c>
      <c r="D14" s="7" t="inlineStr">
        <is>
          <t>MW</t>
        </is>
      </c>
      <c r="E14" s="7" t="n">
        <v>100</v>
      </c>
      <c r="F14" s="7" t="n"/>
      <c r="G14" s="7" t="n"/>
      <c r="H14" s="7" t="n"/>
      <c r="I14" s="7" t="inlineStr">
        <is>
          <t>Firm capacity of the grid connection.</t>
        </is>
      </c>
      <c r="J14" s="7" t="n"/>
      <c r="K14" s="7" t="inlineStr">
        <is>
          <t>Your offtake contracts and project brief. CfD strikes: national tender results (e.g. AO5 award for Bretagne Sud). PPA prices: your counterparty or a market price index.</t>
        </is>
      </c>
    </row>
    <row r="15">
      <c r="A15" s="7" t="inlineStr">
        <is>
          <t>Site</t>
        </is>
      </c>
      <c r="B15" s="7" t="inlineStr">
        <is>
          <t>site_name</t>
        </is>
      </c>
      <c r="C15" s="7" t="inlineStr">
        <is>
          <t>Site name</t>
        </is>
      </c>
      <c r="D15" s="7" t="inlineStr">
        <is>
          <t>-</t>
        </is>
      </c>
      <c r="E15" s="7" t="inlineStr">
        <is>
          <t>My floating island</t>
        </is>
      </c>
      <c r="F15" s="7" t="n"/>
      <c r="G15" s="7" t="n"/>
      <c r="H15" s="7" t="n"/>
      <c r="I15" s="7" t="n"/>
      <c r="J15" s="7" t="n"/>
      <c r="K15" s="7" t="inlineStr">
        <is>
          <t>Depth: EMODnet Bathymetry DTM 2024 (~115 m grid) or GEBCO_2026 (15 arc-second). Sea area: national maritime spatial plan or partner GIS. Grid and hydrogen points: TSO, OpenInfraMap, ENTSOG TYNDP maps.</t>
        </is>
      </c>
    </row>
    <row r="16">
      <c r="A16" s="7" t="inlineStr">
        <is>
          <t>Site</t>
        </is>
      </c>
      <c r="B16" s="7" t="inlineStr">
        <is>
          <t>site_lat</t>
        </is>
      </c>
      <c r="C16" s="7" t="inlineStr">
        <is>
          <t>Island latitude</t>
        </is>
      </c>
      <c r="D16" s="7" t="inlineStr">
        <is>
          <t>deg</t>
        </is>
      </c>
      <c r="E16" s="7" t="n">
        <v>47.38</v>
      </c>
      <c r="F16" s="7" t="n"/>
      <c r="G16" s="7" t="n"/>
      <c r="H16" s="7" t="n"/>
      <c r="I16" s="7" t="n"/>
      <c r="J16" s="7" t="n"/>
      <c r="K16" s="7" t="inlineStr">
        <is>
          <t>Depth: EMODnet Bathymetry DTM 2024 (~115 m grid) or GEBCO_2026 (15 arc-second). Sea area: national maritime spatial plan or partner GIS. Grid and hydrogen points: TSO, OpenInfraMap, ENTSOG TYNDP maps.</t>
        </is>
      </c>
    </row>
    <row r="17">
      <c r="A17" s="7" t="inlineStr">
        <is>
          <t>Site</t>
        </is>
      </c>
      <c r="B17" s="7" t="inlineStr">
        <is>
          <t>site_lon</t>
        </is>
      </c>
      <c r="C17" s="7" t="inlineStr">
        <is>
          <t>Island longitude</t>
        </is>
      </c>
      <c r="D17" s="7" t="inlineStr">
        <is>
          <t>deg</t>
        </is>
      </c>
      <c r="E17" s="7" t="n">
        <v>-3.55</v>
      </c>
      <c r="F17" s="7" t="n"/>
      <c r="G17" s="7" t="n"/>
      <c r="H17" s="7" t="n"/>
      <c r="I17" s="7" t="n"/>
      <c r="J17" s="7" t="n"/>
      <c r="K17" s="7" t="inlineStr">
        <is>
          <t>Depth: EMODnet Bathymetry DTM 2024 (~115 m grid) or GEBCO_2026 (15 arc-second). Sea area: national maritime spatial plan or partner GIS. Grid and hydrogen points: TSO, OpenInfraMap, ENTSOG TYNDP maps.</t>
        </is>
      </c>
    </row>
    <row r="18">
      <c r="A18" s="7" t="inlineStr">
        <is>
          <t>Site</t>
        </is>
      </c>
      <c r="B18" s="7" t="inlineStr">
        <is>
          <t>grid_name</t>
        </is>
      </c>
      <c r="C18" s="7" t="inlineStr">
        <is>
          <t>Grid connection point</t>
        </is>
      </c>
      <c r="D18" s="7" t="inlineStr">
        <is>
          <t>-</t>
        </is>
      </c>
      <c r="E18" s="7" t="inlineStr">
        <is>
          <t>Grid substation</t>
        </is>
      </c>
      <c r="F18" s="7" t="n"/>
      <c r="G18" s="7" t="n"/>
      <c r="H18" s="7" t="n"/>
      <c r="I18" s="7" t="n"/>
      <c r="J18" s="7" t="n"/>
      <c r="K18" s="7" t="inlineStr">
        <is>
          <t>Depth: EMODnet Bathymetry DTM 2024 (~115 m grid) or GEBCO_2026 (15 arc-second). Sea area: national maritime spatial plan or partner GIS. Grid and hydrogen points: TSO, OpenInfraMap, ENTSOG TYNDP maps.</t>
        </is>
      </c>
    </row>
    <row r="19">
      <c r="A19" s="7" t="inlineStr">
        <is>
          <t>Site</t>
        </is>
      </c>
      <c r="B19" s="7" t="inlineStr">
        <is>
          <t>grid_lat</t>
        </is>
      </c>
      <c r="C19" s="7" t="inlineStr">
        <is>
          <t>Grid point latitude</t>
        </is>
      </c>
      <c r="D19" s="7" t="inlineStr">
        <is>
          <t>deg</t>
        </is>
      </c>
      <c r="E19" s="7" t="n">
        <v>47.64</v>
      </c>
      <c r="F19" s="7" t="n"/>
      <c r="G19" s="7" t="n"/>
      <c r="H19" s="7" t="n"/>
      <c r="I19" s="7" t="n"/>
      <c r="J19" s="7" t="n"/>
      <c r="K19" s="7" t="inlineStr">
        <is>
          <t>Depth: EMODnet Bathymetry DTM 2024 (~115 m grid) or GEBCO_2026 (15 arc-second). Sea area: national maritime spatial plan or partner GIS. Grid and hydrogen points: TSO, OpenInfraMap, ENTSOG TYNDP maps.</t>
        </is>
      </c>
    </row>
    <row r="20">
      <c r="A20" s="7" t="inlineStr">
        <is>
          <t>Site</t>
        </is>
      </c>
      <c r="B20" s="7" t="inlineStr">
        <is>
          <t>grid_lon</t>
        </is>
      </c>
      <c r="C20" s="7" t="inlineStr">
        <is>
          <t>Grid point longitude</t>
        </is>
      </c>
      <c r="D20" s="7" t="inlineStr">
        <is>
          <t>deg</t>
        </is>
      </c>
      <c r="E20" s="7" t="n">
        <v>-3.16</v>
      </c>
      <c r="F20" s="7" t="n"/>
      <c r="G20" s="7" t="n"/>
      <c r="H20" s="7" t="n"/>
      <c r="I20" s="7" t="n"/>
      <c r="J20" s="7" t="n"/>
      <c r="K20" s="7" t="inlineStr">
        <is>
          <t>Depth: EMODnet Bathymetry DTM 2024 (~115 m grid) or GEBCO_2026 (15 arc-second). Sea area: national maritime spatial plan or partner GIS. Grid and hydrogen points: TSO, OpenInfraMap, ENTSOG TYNDP maps.</t>
        </is>
      </c>
    </row>
    <row r="21">
      <c r="A21" s="7" t="inlineStr">
        <is>
          <t>Site</t>
        </is>
      </c>
      <c r="B21" s="7" t="inlineStr">
        <is>
          <t>h2_name</t>
        </is>
      </c>
      <c r="C21" s="7" t="inlineStr">
        <is>
          <t>Hydrogen offtake point</t>
        </is>
      </c>
      <c r="D21" s="7" t="inlineStr">
        <is>
          <t>-</t>
        </is>
      </c>
      <c r="E21" s="7" t="inlineStr">
        <is>
          <t>Hydrogen offtaker</t>
        </is>
      </c>
      <c r="F21" s="7" t="n"/>
      <c r="G21" s="7" t="n"/>
      <c r="H21" s="7" t="n"/>
      <c r="I21" s="7" t="n"/>
      <c r="J21" s="7" t="n"/>
      <c r="K21" s="7" t="inlineStr">
        <is>
          <t>Depth: EMODnet Bathymetry DTM 2024 (~115 m grid) or GEBCO_2026 (15 arc-second). Sea area: national maritime spatial plan or partner GIS. Grid and hydrogen points: TSO, OpenInfraMap, ENTSOG TYNDP maps.</t>
        </is>
      </c>
    </row>
    <row r="22">
      <c r="A22" s="7" t="inlineStr">
        <is>
          <t>Site</t>
        </is>
      </c>
      <c r="B22" s="7" t="inlineStr">
        <is>
          <t>h2_lat</t>
        </is>
      </c>
      <c r="C22" s="7" t="inlineStr">
        <is>
          <t>Hydrogen offtake latitude</t>
        </is>
      </c>
      <c r="D22" s="7" t="inlineStr">
        <is>
          <t>deg</t>
        </is>
      </c>
      <c r="E22" s="7" t="n">
        <v>47.27</v>
      </c>
      <c r="F22" s="7" t="n"/>
      <c r="G22" s="7" t="n"/>
      <c r="H22" s="7" t="n"/>
      <c r="I22" s="7" t="n"/>
      <c r="J22" s="7" t="n"/>
      <c r="K22" s="7" t="inlineStr">
        <is>
          <t>Depth: EMODnet Bathymetry DTM 2024 (~115 m grid) or GEBCO_2026 (15 arc-second). Sea area: national maritime spatial plan or partner GIS. Grid and hydrogen points: TSO, OpenInfraMap, ENTSOG TYNDP maps.</t>
        </is>
      </c>
    </row>
    <row r="23">
      <c r="A23" s="7" t="inlineStr">
        <is>
          <t>Site</t>
        </is>
      </c>
      <c r="B23" s="7" t="inlineStr">
        <is>
          <t>h2_lon</t>
        </is>
      </c>
      <c r="C23" s="7" t="inlineStr">
        <is>
          <t>Hydrogen offtake longitude</t>
        </is>
      </c>
      <c r="D23" s="7" t="inlineStr">
        <is>
          <t>deg</t>
        </is>
      </c>
      <c r="E23" s="7" t="n">
        <v>-2.2</v>
      </c>
      <c r="F23" s="7" t="n"/>
      <c r="G23" s="7" t="n"/>
      <c r="H23" s="7" t="n"/>
      <c r="I23" s="7" t="n"/>
      <c r="J23" s="7" t="n"/>
      <c r="K23" s="7" t="inlineStr">
        <is>
          <t>Depth: EMODnet Bathymetry DTM 2024 (~115 m grid) or GEBCO_2026 (15 arc-second). Sea area: national maritime spatial plan or partner GIS. Grid and hydrogen points: TSO, OpenInfraMap, ENTSOG TYNDP maps.</t>
        </is>
      </c>
    </row>
    <row r="24">
      <c r="A24" s="7" t="inlineStr">
        <is>
          <t>Site</t>
        </is>
      </c>
      <c r="B24" s="7" t="inlineStr">
        <is>
          <t>route_method</t>
        </is>
      </c>
      <c r="C24" s="7" t="inlineStr">
        <is>
          <t>How route lengths are found</t>
        </is>
      </c>
      <c r="D24" s="7" t="inlineStr">
        <is>
          <t>-</t>
        </is>
      </c>
      <c r="E24" s="7" t="inlineStr">
        <is>
          <t>sea route</t>
        </is>
      </c>
      <c r="F24" s="7" t="inlineStr">
        <is>
          <t>sea route, straight line</t>
        </is>
      </c>
      <c r="G24" s="7" t="n"/>
      <c r="H24" s="7" t="n"/>
      <c r="I24" s="7" t="inlineStr">
        <is>
          <t>sea route: shortest path through the sea on the bundled 1 km coastline (around islands and headlands) from the island to the coast nearest the onshore point, plus a straight onshore leg. straight line: great-circle distance x routing factor. An entered route length below always wins.</t>
        </is>
      </c>
      <c r="J24" s="7" t="n"/>
      <c r="K24" s="7" t="inlineStr">
        <is>
          <t>Depth: EMODnet Bathymetry DTM 2024 (~115 m grid) or GEBCO_2026 (15 arc-second). Sea area: national maritime spatial plan or partner GIS. Grid and hydrogen points: TSO, OpenInfraMap, ENTSOG TYNDP maps.</t>
        </is>
      </c>
    </row>
    <row r="25">
      <c r="A25" s="7" t="inlineStr">
        <is>
          <t>Site</t>
        </is>
      </c>
      <c r="B25" s="7" t="inlineStr">
        <is>
          <t>routing_factor</t>
        </is>
      </c>
      <c r="C25" s="7" t="inlineStr">
        <is>
          <t>Routing factor (route / straight line)</t>
        </is>
      </c>
      <c r="D25" s="7" t="inlineStr">
        <is>
          <t>-</t>
        </is>
      </c>
      <c r="E25" s="7" t="n">
        <v>1.2</v>
      </c>
      <c r="F25" s="7" t="n"/>
      <c r="G25" s="7" t="n"/>
      <c r="H25" s="7" t="n"/>
      <c r="I25" s="7" t="inlineStr">
        <is>
          <t>Used with the straight-line method. Cables and pipes rarely run straight; 1.1-1.3 is typical.</t>
        </is>
      </c>
      <c r="J25" s="7" t="n"/>
      <c r="K25" s="7" t="inlineStr">
        <is>
          <t>Depth: EMODnet Bathymetry DTM 2024 (~115 m grid) or GEBCO_2026 (15 arc-second). Sea area: national maritime spatial plan or partner GIS. Grid and hydrogen points: TSO, OpenInfraMap, ENTSOG TYNDP maps.</t>
        </is>
      </c>
    </row>
    <row r="26">
      <c r="A26" s="7" t="inlineStr">
        <is>
          <t>Site</t>
        </is>
      </c>
      <c r="B26" s="7" t="inlineStr">
        <is>
          <t>link_distance_override_km</t>
        </is>
      </c>
      <c r="C26" s="7" t="inlineStr">
        <is>
          <t>Export cable route length (0 = computed)</t>
        </is>
      </c>
      <c r="D26" s="7" t="inlineStr">
        <is>
          <t>km</t>
        </is>
      </c>
      <c r="E26" s="7" t="n">
        <v>0</v>
      </c>
      <c r="F26" s="7" t="n"/>
      <c r="G26" s="7" t="n"/>
      <c r="H26" s="7" t="n"/>
      <c r="I26" s="7" t="inlineStr">
        <is>
          <t>Routed length of the island's own cable to the grid point, from a cable route study if you have it; it replaces the computed length. A cable to a nearby hub is always measured from the map.</t>
        </is>
      </c>
      <c r="J26" s="7" t="n"/>
      <c r="K26" s="7" t="inlineStr">
        <is>
          <t>Depth: EMODnet Bathymetry DTM 2024 (~115 m grid) or GEBCO_2026 (15 arc-second). Sea area: national maritime spatial plan or partner GIS. Grid and hydrogen points: TSO, OpenInfraMap, ENTSOG TYNDP maps.</t>
        </is>
      </c>
    </row>
    <row r="27">
      <c r="A27" s="7" t="inlineStr">
        <is>
          <t>Site</t>
        </is>
      </c>
      <c r="B27" s="7" t="inlineStr">
        <is>
          <t>pipe_distance_override_km</t>
        </is>
      </c>
      <c r="C27" s="7" t="inlineStr">
        <is>
          <t>Pipeline route length (0 = computed)</t>
        </is>
      </c>
      <c r="D27" s="7" t="inlineStr">
        <is>
          <t>km</t>
        </is>
      </c>
      <c r="E27" s="7" t="n">
        <v>0</v>
      </c>
      <c r="F27" s="7" t="n"/>
      <c r="G27" s="7" t="n"/>
      <c r="H27" s="7" t="n"/>
      <c r="I27" s="7" t="inlineStr">
        <is>
          <t>Routed length of the island's own pipeline to the offtake point, if known. A spur to a pipeline tie-in is always measured from the map.</t>
        </is>
      </c>
      <c r="J27" s="7" t="n"/>
      <c r="K27" s="7" t="inlineStr">
        <is>
          <t>Depth: EMODnet Bathymetry DTM 2024 (~115 m grid) or GEBCO_2026 (15 arc-second). Sea area: national maritime spatial plan or partner GIS. Grid and hydrogen points: TSO, OpenInfraMap, ENTSOG TYNDP maps.</t>
        </is>
      </c>
    </row>
    <row r="28">
      <c r="A28" s="7" t="inlineStr">
        <is>
          <t>Site</t>
        </is>
      </c>
      <c r="B28" s="7" t="inlineStr">
        <is>
          <t>avg_water_depth_m</t>
        </is>
      </c>
      <c r="C28" s="7" t="inlineStr">
        <is>
          <t>Water depth at the island</t>
        </is>
      </c>
      <c r="D28" s="7" t="inlineStr">
        <is>
          <t>m</t>
        </is>
      </c>
      <c r="E28" s="7" t="n">
        <v>75</v>
      </c>
      <c r="F28" s="7" t="n"/>
      <c r="G28" s="7" t="n"/>
      <c r="H28" s="7" t="n"/>
      <c r="I28" s="7" t="inlineStr">
        <is>
          <t>Up to the fixed/floating threshold the island is bottom-fixed; deeper it floats.</t>
        </is>
      </c>
      <c r="J28" s="7" t="n"/>
      <c r="K28" s="7" t="inlineStr">
        <is>
          <t>Depth: EMODnet Bathymetry DTM 2024 (~115 m grid) or GEBCO_2026 (15 arc-second). Sea area: national maritime spatial plan or partner GIS. Grid and hydrogen points: TSO, OpenInfraMap, ENTSOG TYNDP maps.</t>
        </is>
      </c>
    </row>
    <row r="29">
      <c r="A29" s="7" t="inlineStr">
        <is>
          <t>Site</t>
        </is>
      </c>
      <c r="B29" s="7" t="inlineStr">
        <is>
          <t>fixed_floating_depth_m</t>
        </is>
      </c>
      <c r="C29" s="7" t="inlineStr">
        <is>
          <t>Fixed/floating threshold depth</t>
        </is>
      </c>
      <c r="D29" s="7" t="inlineStr">
        <is>
          <t>m</t>
        </is>
      </c>
      <c r="E29" s="7" t="n">
        <v>60</v>
      </c>
      <c r="F29" s="7" t="n"/>
      <c r="G29" s="7" t="n"/>
      <c r="H29" s="7" t="inlineStr">
        <is>
          <t>advanced</t>
        </is>
      </c>
      <c r="I29" s="7" t="n"/>
      <c r="J29" s="7" t="inlineStr">
        <is>
          <t>EVOLVE v9 model (OffShore-Onshore_Setting.py)</t>
        </is>
      </c>
      <c r="K29" s="7" t="inlineStr">
        <is>
          <t>Depth: EMODnet Bathymetry DTM 2024 (~115 m grid) or GEBCO_2026 (15 arc-second). Sea area: national maritime spatial plan or partner GIS. Grid and hydrogen points: TSO, OpenInfraMap, ENTSOG TYNDP maps.</t>
        </is>
      </c>
    </row>
    <row r="30">
      <c r="A30" s="7" t="inlineStr">
        <is>
          <t>Site</t>
        </is>
      </c>
      <c r="B30" s="7" t="inlineStr">
        <is>
          <t>decentralized_h2</t>
        </is>
      </c>
      <c r="C30" s="7" t="inlineStr">
        <is>
          <t>Turbine-level electrolysis (no power cable)</t>
        </is>
      </c>
      <c r="D30" s="7" t="inlineStr">
        <is>
          <t>-</t>
        </is>
      </c>
      <c r="E30" s="7" t="inlineStr">
        <is>
          <t>False</t>
        </is>
      </c>
      <c r="F30" s="7" t="n"/>
      <c r="G30" s="7" t="n"/>
      <c r="H30" s="7" t="n"/>
      <c r="I30" s="7" t="inlineStr">
        <is>
          <t>Floating, decentralised concept (Dolphyn type): hydrogen made in each turbine, pipeline export only.</t>
        </is>
      </c>
      <c r="J30" s="7" t="n"/>
      <c r="K30" s="7" t="inlineStr">
        <is>
          <t>Depth: EMODnet Bathymetry DTM 2024 (~115 m grid) or GEBCO_2026 (15 arc-second). Sea area: national maritime spatial plan or partner GIS. Grid and hydrogen points: TSO, OpenInfraMap, ENTSOG TYNDP maps.</t>
        </is>
      </c>
    </row>
    <row r="31">
      <c r="A31" s="7" t="inlineStr">
        <is>
          <t>Site</t>
        </is>
      </c>
      <c r="B31" s="7" t="inlineStr">
        <is>
          <t>existing_pipeline_available</t>
        </is>
      </c>
      <c r="C31" s="7" t="inlineStr">
        <is>
          <t>Existing gas pipeline on the route can be repurposed</t>
        </is>
      </c>
      <c r="D31" s="7" t="inlineStr">
        <is>
          <t>-</t>
        </is>
      </c>
      <c r="E31" s="7" t="inlineStr">
        <is>
          <t>False</t>
        </is>
      </c>
      <c r="F31" s="7" t="n"/>
      <c r="G31" s="7" t="n"/>
      <c r="H31" s="7" t="n"/>
      <c r="I31" s="7" t="n"/>
      <c r="J31" s="7" t="n"/>
      <c r="K31" s="7" t="inlineStr">
        <is>
          <t>Depth: EMODnet Bathymetry DTM 2024 (~115 m grid) or GEBCO_2026 (15 arc-second). Sea area: national maritime spatial plan or partner GIS. Grid and hydrogen points: TSO, OpenInfraMap, ENTSOG TYNDP maps.</t>
        </is>
      </c>
    </row>
    <row r="32">
      <c r="A32" s="7" t="inlineStr">
        <is>
          <t>Site</t>
        </is>
      </c>
      <c r="B32" s="7" t="inlineStr">
        <is>
          <t>sea_area_km2</t>
        </is>
      </c>
      <c r="C32" s="7" t="inlineStr">
        <is>
          <t>Usable sea area</t>
        </is>
      </c>
      <c r="D32" s="7" t="inlineStr">
        <is>
          <t>km2</t>
        </is>
      </c>
      <c r="E32" s="7" t="n">
        <v>38</v>
      </c>
      <c r="F32" s="7" t="n"/>
      <c r="G32" s="7" t="n"/>
      <c r="H32" s="7" t="n"/>
      <c r="I32" s="7" t="inlineStr">
        <is>
          <t>Polygon available for turbines and floating PV.</t>
        </is>
      </c>
      <c r="J32" s="7" t="n"/>
      <c r="K32" s="7" t="inlineStr">
        <is>
          <t>Depth: EMODnet Bathymetry DTM 2024 (~115 m grid) or GEBCO_2026 (15 arc-second). Sea area: national maritime spatial plan or partner GIS. Grid and hydrogen points: TSO, OpenInfraMap, ENTSOG TYNDP maps.</t>
        </is>
      </c>
    </row>
    <row r="33">
      <c r="A33" s="7" t="inlineStr">
        <is>
          <t>Site</t>
        </is>
      </c>
      <c r="B33" s="7" t="inlineStr">
        <is>
          <t>wind_density_mw_km2</t>
        </is>
      </c>
      <c r="C33" s="7" t="inlineStr">
        <is>
          <t>Wind power density</t>
        </is>
      </c>
      <c r="D33" s="7" t="inlineStr">
        <is>
          <t>MW/km2</t>
        </is>
      </c>
      <c r="E33" s="7" t="n">
        <v>6.3</v>
      </c>
      <c r="F33" s="7" t="n"/>
      <c r="G33" s="7" t="n"/>
      <c r="H33" s="7" t="n"/>
      <c r="I33" s="7" t="inlineStr">
        <is>
          <t>Bretagne Sud: 250 MW on 40 km2 and 500 MW on 75 km2 (State brochure, 2026).</t>
        </is>
      </c>
      <c r="J33" s="7" t="inlineStr">
        <is>
          <t>Belle-Ile site data (EVOLVE)</t>
        </is>
      </c>
      <c r="K33" s="7" t="inlineStr">
        <is>
          <t>Depth: EMODnet Bathymetry DTM 2024 (~115 m grid) or GEBCO_2026 (15 arc-second). Sea area: national maritime spatial plan or partner GIS. Grid and hydrogen points: TSO, OpenInfraMap, ENTSOG TYNDP maps.</t>
        </is>
      </c>
    </row>
    <row r="34">
      <c r="A34" s="7" t="inlineStr">
        <is>
          <t>Site</t>
        </is>
      </c>
      <c r="B34" s="7" t="inlineStr">
        <is>
          <t>pv_density_mw_km2</t>
        </is>
      </c>
      <c r="C34" s="7" t="inlineStr">
        <is>
          <t>Floating PV density</t>
        </is>
      </c>
      <c r="D34" s="7" t="inlineStr">
        <is>
          <t>MW/km2</t>
        </is>
      </c>
      <c r="E34" s="7" t="n">
        <v>60</v>
      </c>
      <c r="F34" s="7" t="n"/>
      <c r="G34" s="7" t="inlineStr">
        <is>
          <t>yes</t>
        </is>
      </c>
      <c r="H34" s="7" t="n"/>
      <c r="I34" s="7" t="n"/>
      <c r="J34" s="7" t="inlineStr">
        <is>
          <t>Assumption (floating PV at about 60 MW/km2)</t>
        </is>
      </c>
      <c r="K34" s="7" t="inlineStr">
        <is>
          <t>Depth: EMODnet Bathymetry DTM 2024 (~115 m grid) or GEBCO_2026 (15 arc-second). Sea area: national maritime spatial plan or partner GIS. Grid and hydrogen points: TSO, OpenInfraMap, ENTSOG TYNDP maps.</t>
        </is>
      </c>
    </row>
    <row r="35">
      <c r="A35" s="7" t="inlineStr">
        <is>
          <t>Site</t>
        </is>
      </c>
      <c r="B35" s="7" t="inlineStr">
        <is>
          <t>deck_area_max_m2</t>
        </is>
      </c>
      <c r="C35" s="7" t="inlineStr">
        <is>
          <t>Island deck area available</t>
        </is>
      </c>
      <c r="D35" s="7" t="inlineStr">
        <is>
          <t>m2</t>
        </is>
      </c>
      <c r="E35" s="7" t="n">
        <v>200000</v>
      </c>
      <c r="F35" s="7" t="n"/>
      <c r="G35" s="7" t="n"/>
      <c r="H35" s="7" t="n"/>
      <c r="I35" s="7" t="inlineStr">
        <is>
          <t>Area for electrolysers, compressors, fuel cells, batteries and tanks on the island.</t>
        </is>
      </c>
      <c r="J35" s="7" t="inlineStr">
        <is>
          <t>EVOLVE v9 model (OffShore-Onshore_Setting.py)</t>
        </is>
      </c>
      <c r="K35" s="7" t="inlineStr">
        <is>
          <t>Depth: EMODnet Bathymetry DTM 2024 (~115 m grid) or GEBCO_2026 (15 arc-second). Sea area: national maritime spatial plan or partner GIS. Grid and hydrogen points: TSO, OpenInfraMap, ENTSOG TYNDP maps.</t>
        </is>
      </c>
    </row>
    <row r="36">
      <c r="A36" s="7" t="inlineStr">
        <is>
          <t>Site</t>
        </is>
      </c>
      <c r="B36" s="7" t="inlineStr">
        <is>
          <t>area_onshore_max_m2</t>
        </is>
      </c>
      <c r="C36" s="7" t="inlineStr">
        <is>
          <t>Onshore plot area</t>
        </is>
      </c>
      <c r="D36" s="7" t="inlineStr">
        <is>
          <t>m2</t>
        </is>
      </c>
      <c r="E36" s="7" t="n">
        <v>1000000</v>
      </c>
      <c r="F36" s="7" t="n"/>
      <c r="G36" s="7" t="n"/>
      <c r="H36" s="7" t="n"/>
      <c r="I36" s="7" t="n"/>
      <c r="J36" s="7" t="inlineStr">
        <is>
          <t>EVOLVE v9 model (OffShore-Onshore_Setting.py)</t>
        </is>
      </c>
      <c r="K36" s="7" t="inlineStr">
        <is>
          <t>Depth: EMODnet Bathymetry DTM 2024 (~115 m grid) or GEBCO_2026 (15 arc-second). Sea area: national maritime spatial plan or partner GIS. Grid and hydrogen points: TSO, OpenInfraMap, ENTSOG TYNDP maps.</t>
        </is>
      </c>
    </row>
    <row r="37">
      <c r="A37" s="7" t="inlineStr">
        <is>
          <t>Connections</t>
        </is>
      </c>
      <c r="B37" s="7" t="inlineStr">
        <is>
          <t>elec_connection</t>
        </is>
      </c>
      <c r="C37" s="7" t="inlineStr">
        <is>
          <t>Electricity connection</t>
        </is>
      </c>
      <c r="D37" s="7" t="inlineStr">
        <is>
          <t>-</t>
        </is>
      </c>
      <c r="E37" s="7" t="inlineStr">
        <is>
          <t>direct</t>
        </is>
      </c>
      <c r="F37" s="7" t="inlineStr">
        <is>
          <t>direct, hub, choose</t>
        </is>
      </c>
      <c r="G37" s="7" t="n"/>
      <c r="H37" s="7" t="n"/>
      <c r="I37" s="7" t="inlineStr">
        <is>
          <t>Direct: own export cable to the onshore grid point. Hub: short cable to a nearby offshore substation or cable with spare capacity (its owner carries the power to shore for an access fee). Choose: the model sizes both and keeps the cheaper.</t>
        </is>
      </c>
      <c r="J37" s="7" t="n"/>
      <c r="K37"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38">
      <c r="A38" s="7" t="inlineStr">
        <is>
          <t>Connections</t>
        </is>
      </c>
      <c r="B38" s="7" t="inlineStr">
        <is>
          <t>hub_name</t>
        </is>
      </c>
      <c r="C38" s="7" t="inlineStr">
        <is>
          <t>Nearby offshore substation or cable</t>
        </is>
      </c>
      <c r="D38" s="7" t="inlineStr">
        <is>
          <t>-</t>
        </is>
      </c>
      <c r="E38" s="7" t="inlineStr">
        <is>
          <t>Nearby offshore substation</t>
        </is>
      </c>
      <c r="F38" s="7" t="n"/>
      <c r="G38" s="7" t="n"/>
      <c r="H38" s="7" t="n"/>
      <c r="I38" s="7" t="n"/>
      <c r="J38" s="7" t="n"/>
      <c r="K38"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39">
      <c r="A39" s="7" t="inlineStr">
        <is>
          <t>Connections</t>
        </is>
      </c>
      <c r="B39" s="7" t="inlineStr">
        <is>
          <t>hub_lat</t>
        </is>
      </c>
      <c r="C39" s="7" t="inlineStr">
        <is>
          <t>Hub latitude</t>
        </is>
      </c>
      <c r="D39" s="7" t="inlineStr">
        <is>
          <t>deg</t>
        </is>
      </c>
      <c r="E39" s="7" t="n">
        <v>47.42</v>
      </c>
      <c r="F39" s="7" t="n"/>
      <c r="G39" s="7" t="n"/>
      <c r="H39" s="7" t="n"/>
      <c r="I39" s="7" t="n"/>
      <c r="J39" s="7" t="n"/>
      <c r="K39"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0">
      <c r="A40" s="7" t="inlineStr">
        <is>
          <t>Connections</t>
        </is>
      </c>
      <c r="B40" s="7" t="inlineStr">
        <is>
          <t>hub_lon</t>
        </is>
      </c>
      <c r="C40" s="7" t="inlineStr">
        <is>
          <t>Hub longitude</t>
        </is>
      </c>
      <c r="D40" s="7" t="inlineStr">
        <is>
          <t>deg</t>
        </is>
      </c>
      <c r="E40" s="7" t="n">
        <v>-3.45</v>
      </c>
      <c r="F40" s="7" t="n"/>
      <c r="G40" s="7" t="n"/>
      <c r="H40" s="7" t="n"/>
      <c r="I40" s="7" t="n"/>
      <c r="J40" s="7" t="n"/>
      <c r="K40"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1">
      <c r="A41" s="7" t="inlineStr">
        <is>
          <t>Connections</t>
        </is>
      </c>
      <c r="B41" s="7" t="inlineStr">
        <is>
          <t>hub_spare_mw</t>
        </is>
      </c>
      <c r="C41" s="7" t="inlineStr">
        <is>
          <t>Spare capacity at the hub</t>
        </is>
      </c>
      <c r="D41" s="7" t="inlineStr">
        <is>
          <t>MW</t>
        </is>
      </c>
      <c r="E41" s="7" t="n">
        <v>100</v>
      </c>
      <c r="F41" s="7" t="n"/>
      <c r="G41" s="7" t="n"/>
      <c r="H41" s="7" t="n"/>
      <c r="I41" s="7" t="inlineStr">
        <is>
          <t>Capacity the hub owner can offer; it caps the power the island can export through the hub.</t>
        </is>
      </c>
      <c r="J41" s="7" t="n"/>
      <c r="K41"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2">
      <c r="A42" s="7" t="inlineStr">
        <is>
          <t>Connections</t>
        </is>
      </c>
      <c r="B42" s="7" t="inlineStr">
        <is>
          <t>hub_voltage_kv</t>
        </is>
      </c>
      <c r="C42" s="7" t="inlineStr">
        <is>
          <t>Hub voltage</t>
        </is>
      </c>
      <c r="D42" s="7" t="inlineStr">
        <is>
          <t>kV</t>
        </is>
      </c>
      <c r="E42" s="7" t="n">
        <v>225</v>
      </c>
      <c r="F42" s="7" t="n"/>
      <c r="G42" s="7" t="n"/>
      <c r="H42" s="7" t="n"/>
      <c r="I42" s="7" t="inlineStr">
        <is>
          <t>AC voltage of the hub; sets the rating of the cable from the island.</t>
        </is>
      </c>
      <c r="J42" s="7" t="n"/>
      <c r="K42"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3">
      <c r="A43" s="7" t="inlineStr">
        <is>
          <t>Connections</t>
        </is>
      </c>
      <c r="B43" s="7" t="inlineStr">
        <is>
          <t>hub_access_fee_eur_mw_yr</t>
        </is>
      </c>
      <c r="C43" s="7" t="inlineStr">
        <is>
          <t>Hub access fee</t>
        </is>
      </c>
      <c r="D43" s="7" t="inlineStr">
        <is>
          <t>EUR/MW/yr</t>
        </is>
      </c>
      <c r="E43" s="7" t="n">
        <v>42000</v>
      </c>
      <c r="F43" s="7" t="n"/>
      <c r="G43" s="7" t="inlineStr">
        <is>
          <t>yes</t>
        </is>
      </c>
      <c r="H43" s="7" t="n"/>
      <c r="I43" s="7" t="inlineStr">
        <is>
          <t>Annual charge per MW of connection for using the hub and its link to shore.</t>
        </is>
      </c>
      <c r="J43" s="7" t="inlineStr">
        <is>
          <t>EVOLVE v9 model (OffShore-Onshore_Setting.py)</t>
        </is>
      </c>
      <c r="K43"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4">
      <c r="A44" s="7" t="inlineStr">
        <is>
          <t>Connections</t>
        </is>
      </c>
      <c r="B44" s="7" t="inlineStr">
        <is>
          <t>export_voltage</t>
        </is>
      </c>
      <c r="C44" s="7" t="inlineStr">
        <is>
          <t>Export link</t>
        </is>
      </c>
      <c r="D44" s="7" t="inlineStr">
        <is>
          <t>-</t>
        </is>
      </c>
      <c r="E44" s="7" t="inlineStr">
        <is>
          <t>auto</t>
        </is>
      </c>
      <c r="F44" s="7" t="inlineStr">
        <is>
          <t>auto, 66 kV, 132 kV, 220 kV, 275 kV, HVDC</t>
        </is>
      </c>
      <c r="G44" s="7" t="n"/>
      <c r="H44" s="7" t="n"/>
      <c r="I44" s="7" t="inlineStr">
        <is>
          <t>Auto: the model chooses AC or DC, the voltage, the conductor, the compensation, the number of circuits and the capacity. A fixed choice restricts it to that AC voltage or to HVDC.</t>
        </is>
      </c>
      <c r="J44" s="7" t="n"/>
      <c r="K44"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5">
      <c r="A45" s="7" t="inlineStr">
        <is>
          <t>Connections</t>
        </is>
      </c>
      <c r="B45" s="7" t="inlineStr">
        <is>
          <t>h2_connection</t>
        </is>
      </c>
      <c r="C45" s="7" t="inlineStr">
        <is>
          <t>Hydrogen connection</t>
        </is>
      </c>
      <c r="D45" s="7" t="inlineStr">
        <is>
          <t>-</t>
        </is>
      </c>
      <c r="E45" s="7" t="inlineStr">
        <is>
          <t>direct</t>
        </is>
      </c>
      <c r="F45" s="7" t="inlineStr">
        <is>
          <t>direct, tiein, choose</t>
        </is>
      </c>
      <c r="G45" s="7" t="n"/>
      <c r="H45" s="7" t="n"/>
      <c r="I45" s="7" t="inlineStr">
        <is>
          <t>Direct: own pipeline to the offtake point. Tie-in: short pipeline to a nearby pipeline with spare capacity. Choose: the model sizes both and keeps the cheaper.</t>
        </is>
      </c>
      <c r="J45" s="7" t="n"/>
      <c r="K45"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6">
      <c r="A46" s="7" t="inlineStr">
        <is>
          <t>Connections</t>
        </is>
      </c>
      <c r="B46" s="7" t="inlineStr">
        <is>
          <t>tiein_name</t>
        </is>
      </c>
      <c r="C46" s="7" t="inlineStr">
        <is>
          <t>Nearby pipeline tie-in point</t>
        </is>
      </c>
      <c r="D46" s="7" t="inlineStr">
        <is>
          <t>-</t>
        </is>
      </c>
      <c r="E46" s="7" t="inlineStr">
        <is>
          <t>Nearby pipeline</t>
        </is>
      </c>
      <c r="F46" s="7" t="n"/>
      <c r="G46" s="7" t="n"/>
      <c r="H46" s="7" t="n"/>
      <c r="I46" s="7" t="n"/>
      <c r="J46" s="7" t="n"/>
      <c r="K46"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7">
      <c r="A47" s="7" t="inlineStr">
        <is>
          <t>Connections</t>
        </is>
      </c>
      <c r="B47" s="7" t="inlineStr">
        <is>
          <t>tiein_lat</t>
        </is>
      </c>
      <c r="C47" s="7" t="inlineStr">
        <is>
          <t>Tie-in latitude</t>
        </is>
      </c>
      <c r="D47" s="7" t="inlineStr">
        <is>
          <t>deg</t>
        </is>
      </c>
      <c r="E47" s="7" t="n">
        <v>47.45</v>
      </c>
      <c r="F47" s="7" t="n"/>
      <c r="G47" s="7" t="n"/>
      <c r="H47" s="7" t="n"/>
      <c r="I47" s="7" t="n"/>
      <c r="J47" s="7" t="n"/>
      <c r="K47"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8">
      <c r="A48" s="7" t="inlineStr">
        <is>
          <t>Connections</t>
        </is>
      </c>
      <c r="B48" s="7" t="inlineStr">
        <is>
          <t>tiein_lon</t>
        </is>
      </c>
      <c r="C48" s="7" t="inlineStr">
        <is>
          <t>Tie-in longitude</t>
        </is>
      </c>
      <c r="D48" s="7" t="inlineStr">
        <is>
          <t>deg</t>
        </is>
      </c>
      <c r="E48" s="7" t="n">
        <v>-3.3</v>
      </c>
      <c r="F48" s="7" t="n"/>
      <c r="G48" s="7" t="n"/>
      <c r="H48" s="7" t="n"/>
      <c r="I48" s="7" t="n"/>
      <c r="J48" s="7" t="n"/>
      <c r="K48"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9">
      <c r="A49" s="7" t="inlineStr">
        <is>
          <t>Connections</t>
        </is>
      </c>
      <c r="B49" s="7" t="inlineStr">
        <is>
          <t>tiein_spare_kgh</t>
        </is>
      </c>
      <c r="C49" s="7" t="inlineStr">
        <is>
          <t>Spare capacity in the pipeline</t>
        </is>
      </c>
      <c r="D49" s="7" t="inlineStr">
        <is>
          <t>kg/h</t>
        </is>
      </c>
      <c r="E49" s="7" t="n">
        <v>20000</v>
      </c>
      <c r="F49" s="7" t="n"/>
      <c r="G49" s="7" t="n"/>
      <c r="H49" s="7" t="n"/>
      <c r="I49" s="7" t="n"/>
      <c r="J49" s="7" t="n"/>
      <c r="K49"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50">
      <c r="A50" s="7" t="inlineStr">
        <is>
          <t>Connections</t>
        </is>
      </c>
      <c r="B50" s="7" t="inlineStr">
        <is>
          <t>tiein_pressure_bar</t>
        </is>
      </c>
      <c r="C50" s="7" t="inlineStr">
        <is>
          <t>Pipeline operating pressure</t>
        </is>
      </c>
      <c r="D50" s="7" t="inlineStr">
        <is>
          <t>bar</t>
        </is>
      </c>
      <c r="E50" s="7" t="n">
        <v>70</v>
      </c>
      <c r="F50" s="7" t="n"/>
      <c r="G50" s="7" t="n"/>
      <c r="H50" s="7" t="n"/>
      <c r="I50" s="7" t="inlineStr">
        <is>
          <t>Pressure of the existing pipeline at the tie-in. Compressors deliver this pressure plus the spur's pressure-drop margin (Hydrogen pipeline tab).</t>
        </is>
      </c>
      <c r="J50" s="7" t="n"/>
      <c r="K50"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51">
      <c r="A51" s="7" t="inlineStr">
        <is>
          <t>Connections</t>
        </is>
      </c>
      <c r="B51" s="7" t="inlineStr">
        <is>
          <t>tiein_fee_eur</t>
        </is>
      </c>
      <c r="C51" s="7" t="inlineStr">
        <is>
          <t>Tie-in cost (hot tap, metering)</t>
        </is>
      </c>
      <c r="D51" s="7" t="inlineStr">
        <is>
          <t>EUR</t>
        </is>
      </c>
      <c r="E51" s="7" t="n">
        <v>5000000</v>
      </c>
      <c r="F51" s="7" t="n"/>
      <c r="G51" s="7" t="inlineStr">
        <is>
          <t>yes</t>
        </is>
      </c>
      <c r="H51" s="7" t="n"/>
      <c r="I51" s="7" t="n"/>
      <c r="J51" s="7" t="inlineStr">
        <is>
          <t>Assumption (hot tap and metering station); no ACER indicator</t>
        </is>
      </c>
      <c r="K51"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52">
      <c r="A52" s="7" t="inlineStr">
        <is>
          <t>Technologies</t>
        </is>
      </c>
      <c r="B52" s="7" t="inlineStr">
        <is>
          <t>enable_pv</t>
        </is>
      </c>
      <c r="C52" s="7" t="inlineStr">
        <is>
          <t>Floating PV</t>
        </is>
      </c>
      <c r="D52" s="7" t="inlineStr">
        <is>
          <t>-</t>
        </is>
      </c>
      <c r="E52" s="7" t="inlineStr">
        <is>
          <t>True</t>
        </is>
      </c>
      <c r="F52" s="7" t="n"/>
      <c r="G52" s="7" t="n"/>
      <c r="H52" s="7" t="n"/>
      <c r="I52" s="7" t="n"/>
      <c r="J52" s="7" t="n"/>
      <c r="K52" s="7" t="inlineStr">
        <is>
          <t>Project choice: switch off what is not allowed at the site.</t>
        </is>
      </c>
    </row>
    <row r="53">
      <c r="A53" s="7" t="inlineStr">
        <is>
          <t>Technologies</t>
        </is>
      </c>
      <c r="B53" s="7" t="inlineStr">
        <is>
          <t>enable_ez_off</t>
        </is>
      </c>
      <c r="C53" s="7" t="inlineStr">
        <is>
          <t>Electrolyser on the island</t>
        </is>
      </c>
      <c r="D53" s="7" t="inlineStr">
        <is>
          <t>-</t>
        </is>
      </c>
      <c r="E53" s="7" t="inlineStr">
        <is>
          <t>True</t>
        </is>
      </c>
      <c r="F53" s="7" t="n"/>
      <c r="G53" s="7" t="n"/>
      <c r="H53" s="7" t="n"/>
      <c r="I53" s="7" t="n"/>
      <c r="J53" s="7" t="n"/>
      <c r="K53" s="7" t="inlineStr">
        <is>
          <t>Project choice: switch off what is not allowed at the site.</t>
        </is>
      </c>
    </row>
    <row r="54">
      <c r="A54" s="7" t="inlineStr">
        <is>
          <t>Technologies</t>
        </is>
      </c>
      <c r="B54" s="7" t="inlineStr">
        <is>
          <t>enable_ez_on</t>
        </is>
      </c>
      <c r="C54" s="7" t="inlineStr">
        <is>
          <t>Electrolyser onshore</t>
        </is>
      </c>
      <c r="D54" s="7" t="inlineStr">
        <is>
          <t>-</t>
        </is>
      </c>
      <c r="E54" s="7" t="inlineStr">
        <is>
          <t>True</t>
        </is>
      </c>
      <c r="F54" s="7" t="n"/>
      <c r="G54" s="7" t="n"/>
      <c r="H54" s="7" t="n"/>
      <c r="I54" s="7" t="n"/>
      <c r="J54" s="7" t="n"/>
      <c r="K54" s="7" t="inlineStr">
        <is>
          <t>Project choice: switch off what is not allowed at the site.</t>
        </is>
      </c>
    </row>
    <row r="55">
      <c r="A55" s="7" t="inlineStr">
        <is>
          <t>Technologies</t>
        </is>
      </c>
      <c r="B55" s="7" t="inlineStr">
        <is>
          <t>enable_fc_off</t>
        </is>
      </c>
      <c r="C55" s="7" t="inlineStr">
        <is>
          <t>Fuel cell on the island</t>
        </is>
      </c>
      <c r="D55" s="7" t="inlineStr">
        <is>
          <t>-</t>
        </is>
      </c>
      <c r="E55" s="7" t="inlineStr">
        <is>
          <t>True</t>
        </is>
      </c>
      <c r="F55" s="7" t="n"/>
      <c r="G55" s="7" t="n"/>
      <c r="H55" s="7" t="n"/>
      <c r="I55" s="7" t="n"/>
      <c r="J55" s="7" t="n"/>
      <c r="K55" s="7" t="inlineStr">
        <is>
          <t>Project choice: switch off what is not allowed at the site.</t>
        </is>
      </c>
    </row>
    <row r="56">
      <c r="A56" s="7" t="inlineStr">
        <is>
          <t>Technologies</t>
        </is>
      </c>
      <c r="B56" s="7" t="inlineStr">
        <is>
          <t>enable_fc_on</t>
        </is>
      </c>
      <c r="C56" s="7" t="inlineStr">
        <is>
          <t>Fuel cell onshore</t>
        </is>
      </c>
      <c r="D56" s="7" t="inlineStr">
        <is>
          <t>-</t>
        </is>
      </c>
      <c r="E56" s="7" t="inlineStr">
        <is>
          <t>True</t>
        </is>
      </c>
      <c r="F56" s="7" t="n"/>
      <c r="G56" s="7" t="n"/>
      <c r="H56" s="7" t="n"/>
      <c r="I56" s="7" t="n"/>
      <c r="J56" s="7" t="n"/>
      <c r="K56" s="7" t="inlineStr">
        <is>
          <t>Project choice: switch off what is not allowed at the site.</t>
        </is>
      </c>
    </row>
    <row r="57">
      <c r="A57" s="7" t="inlineStr">
        <is>
          <t>Technologies</t>
        </is>
      </c>
      <c r="B57" s="7" t="inlineStr">
        <is>
          <t>enable_batt_off</t>
        </is>
      </c>
      <c r="C57" s="7" t="inlineStr">
        <is>
          <t>Battery on the island</t>
        </is>
      </c>
      <c r="D57" s="7" t="inlineStr">
        <is>
          <t>-</t>
        </is>
      </c>
      <c r="E57" s="7" t="inlineStr">
        <is>
          <t>True</t>
        </is>
      </c>
      <c r="F57" s="7" t="n"/>
      <c r="G57" s="7" t="n"/>
      <c r="H57" s="7" t="n"/>
      <c r="I57" s="7" t="n"/>
      <c r="J57" s="7" t="n"/>
      <c r="K57" s="7" t="inlineStr">
        <is>
          <t>Project choice: switch off what is not allowed at the site.</t>
        </is>
      </c>
    </row>
    <row r="58">
      <c r="A58" s="7" t="inlineStr">
        <is>
          <t>Technologies</t>
        </is>
      </c>
      <c r="B58" s="7" t="inlineStr">
        <is>
          <t>enable_batt_on</t>
        </is>
      </c>
      <c r="C58" s="7" t="inlineStr">
        <is>
          <t>Battery onshore</t>
        </is>
      </c>
      <c r="D58" s="7" t="inlineStr">
        <is>
          <t>-</t>
        </is>
      </c>
      <c r="E58" s="7" t="inlineStr">
        <is>
          <t>True</t>
        </is>
      </c>
      <c r="F58" s="7" t="n"/>
      <c r="G58" s="7" t="n"/>
      <c r="H58" s="7" t="n"/>
      <c r="I58" s="7" t="n"/>
      <c r="J58" s="7" t="n"/>
      <c r="K58" s="7" t="inlineStr">
        <is>
          <t>Project choice: switch off what is not allowed at the site.</t>
        </is>
      </c>
    </row>
    <row r="59">
      <c r="A59" s="7" t="inlineStr">
        <is>
          <t>Technologies</t>
        </is>
      </c>
      <c r="B59" s="7" t="inlineStr">
        <is>
          <t>enable_tank_off</t>
        </is>
      </c>
      <c r="C59" s="7" t="inlineStr">
        <is>
          <t>Hydrogen tank on the island</t>
        </is>
      </c>
      <c r="D59" s="7" t="inlineStr">
        <is>
          <t>-</t>
        </is>
      </c>
      <c r="E59" s="7" t="inlineStr">
        <is>
          <t>True</t>
        </is>
      </c>
      <c r="F59" s="7" t="n"/>
      <c r="G59" s="7" t="n"/>
      <c r="H59" s="7" t="n"/>
      <c r="I59" s="7" t="n"/>
      <c r="J59" s="7" t="n"/>
      <c r="K59" s="7" t="inlineStr">
        <is>
          <t>Project choice: switch off what is not allowed at the site.</t>
        </is>
      </c>
    </row>
    <row r="60">
      <c r="A60" s="7" t="inlineStr">
        <is>
          <t>Technologies</t>
        </is>
      </c>
      <c r="B60" s="7" t="inlineStr">
        <is>
          <t>enable_tank_on</t>
        </is>
      </c>
      <c r="C60" s="7" t="inlineStr">
        <is>
          <t>Hydrogen tank onshore</t>
        </is>
      </c>
      <c r="D60" s="7" t="inlineStr">
        <is>
          <t>-</t>
        </is>
      </c>
      <c r="E60" s="7" t="inlineStr">
        <is>
          <t>True</t>
        </is>
      </c>
      <c r="F60" s="7" t="n"/>
      <c r="G60" s="7" t="n"/>
      <c r="H60" s="7" t="n"/>
      <c r="I60" s="7" t="n"/>
      <c r="J60" s="7" t="n"/>
      <c r="K60" s="7" t="inlineStr">
        <is>
          <t>Project choice: switch off what is not allowed at the site.</t>
        </is>
      </c>
    </row>
    <row r="61">
      <c r="A61" s="7" t="inlineStr">
        <is>
          <t>Technologies</t>
        </is>
      </c>
      <c r="B61" s="7" t="inlineStr">
        <is>
          <t>enable_cable</t>
        </is>
      </c>
      <c r="C61" s="7" t="inlineStr">
        <is>
          <t>Electricity export cable</t>
        </is>
      </c>
      <c r="D61" s="7" t="inlineStr">
        <is>
          <t>-</t>
        </is>
      </c>
      <c r="E61" s="7" t="inlineStr">
        <is>
          <t>True</t>
        </is>
      </c>
      <c r="F61" s="7" t="n"/>
      <c r="G61" s="7" t="n"/>
      <c r="H61" s="7" t="n"/>
      <c r="I61" s="7" t="n"/>
      <c r="J61" s="7" t="n"/>
      <c r="K61" s="7" t="inlineStr">
        <is>
          <t>Project choice: switch off what is not allowed at the site.</t>
        </is>
      </c>
    </row>
    <row r="62">
      <c r="A62" s="7" t="inlineStr">
        <is>
          <t>Technologies</t>
        </is>
      </c>
      <c r="B62" s="7" t="inlineStr">
        <is>
          <t>enable_pipe</t>
        </is>
      </c>
      <c r="C62" s="7" t="inlineStr">
        <is>
          <t>Hydrogen export pipeline</t>
        </is>
      </c>
      <c r="D62" s="7" t="inlineStr">
        <is>
          <t>-</t>
        </is>
      </c>
      <c r="E62" s="7" t="inlineStr">
        <is>
          <t>True</t>
        </is>
      </c>
      <c r="F62" s="7" t="n"/>
      <c r="G62" s="7" t="n"/>
      <c r="H62" s="7" t="n"/>
      <c r="I62" s="7" t="n"/>
      <c r="J62" s="7" t="n"/>
      <c r="K62" s="7" t="inlineStr">
        <is>
          <t>Project choice: switch off what is not allowed at the site.</t>
        </is>
      </c>
    </row>
    <row r="63">
      <c r="A63" s="7" t="inlineStr">
        <is>
          <t>Finance</t>
        </is>
      </c>
      <c r="B63" s="7" t="inlineStr">
        <is>
          <t>discount_rate</t>
        </is>
      </c>
      <c r="C63" s="7" t="inlineStr">
        <is>
          <t>Discount rate (real WACC)</t>
        </is>
      </c>
      <c r="D63" s="7" t="inlineStr">
        <is>
          <t>fraction</t>
        </is>
      </c>
      <c r="E63" s="7" t="n">
        <v>0.07000000000000001</v>
      </c>
      <c r="F63" s="7" t="n"/>
      <c r="G63" s="7" t="n"/>
      <c r="H63" s="7" t="n"/>
      <c r="I63" s="7" t="n"/>
      <c r="J63" s="7" t="inlineStr">
        <is>
          <t>EVOLVE v9 model (OffShore-Onshore_Setting.py)</t>
        </is>
      </c>
      <c r="K63" s="7" t="inlineStr">
        <is>
          <t>Your financing assumptions (real WACC).</t>
        </is>
      </c>
    </row>
    <row r="64">
      <c r="A64" s="7" t="inlineStr">
        <is>
          <t>Finance</t>
        </is>
      </c>
      <c r="B64" s="7" t="inlineStr">
        <is>
          <t>offshore_premium</t>
        </is>
      </c>
      <c r="C64" s="7" t="inlineStr">
        <is>
          <t>Offshore cost premium on island equipment</t>
        </is>
      </c>
      <c r="D64" s="7" t="inlineStr">
        <is>
          <t>x</t>
        </is>
      </c>
      <c r="E64" s="7" t="n">
        <v>1.1</v>
      </c>
      <c r="F64" s="7" t="n"/>
      <c r="G64" s="7" t="inlineStr">
        <is>
          <t>yes</t>
        </is>
      </c>
      <c r="H64" s="7" t="n"/>
      <c r="I64" s="7" t="n"/>
      <c r="J64" s="7" t="inlineStr">
        <is>
          <t>EVOLVE v9 model (OffShore-Onshore_Setting.py)</t>
        </is>
      </c>
      <c r="K64" s="7" t="inlineStr">
        <is>
          <t>Your financing assumptions (real WACC).</t>
        </is>
      </c>
    </row>
    <row r="65">
      <c r="A65" s="7" t="inlineStr">
        <is>
          <t>Finance</t>
        </is>
      </c>
      <c r="B65" s="7" t="inlineStr">
        <is>
          <t>offshore_fom_adder</t>
        </is>
      </c>
      <c r="C65" s="7" t="inlineStr">
        <is>
          <t>Extra fixed O&amp;M for batteries and tanks on the island</t>
        </is>
      </c>
      <c r="D65" s="7" t="inlineStr">
        <is>
          <t>fraction/yr</t>
        </is>
      </c>
      <c r="E65" s="7" t="n">
        <v>0.005</v>
      </c>
      <c r="F65" s="7" t="n"/>
      <c r="G65" s="7" t="n"/>
      <c r="H65" s="7" t="n"/>
      <c r="I65" s="7" t="inlineStr">
        <is>
          <t>Added to the battery and tank fixed O&amp;M on the island (v9: 2.5 % offshore, 2.0 % onshore).</t>
        </is>
      </c>
      <c r="J65" s="7" t="inlineStr">
        <is>
          <t>v9: island batteries and tanks 2.5 % against 2.0 % onshore</t>
        </is>
      </c>
      <c r="K65" s="7" t="inlineStr">
        <is>
          <t>Your financing assumptions (real WACC).</t>
        </is>
      </c>
    </row>
    <row r="66">
      <c r="A66" s="7" t="inlineStr">
        <is>
          <t>Offshore wind</t>
        </is>
      </c>
      <c r="B66" s="7" t="inlineStr">
        <is>
          <t>wind_capex_eur_mw</t>
        </is>
      </c>
      <c r="C66" s="7" t="inlineStr">
        <is>
          <t>CAPEX, bottom-fixed</t>
        </is>
      </c>
      <c r="D66" s="7" t="inlineStr">
        <is>
          <t>EUR/MW</t>
        </is>
      </c>
      <c r="E66" s="7" t="n">
        <v>2540000</v>
      </c>
      <c r="F66" s="7" t="n"/>
      <c r="G66" s="7" t="inlineStr">
        <is>
          <t>yes</t>
        </is>
      </c>
      <c r="H66" s="7" t="n"/>
      <c r="I66" s="7" t="n"/>
      <c r="J66" s="7" t="inlineStr">
        <is>
          <t>EVOLVE v9 model (OffShore-Onshore_Setting.py)</t>
        </is>
      </c>
      <c r="K66" s="7" t="inlineStr">
        <is>
          <t>Danish Energy Agency catalogue for electricity and district heating (updated June 2026); NLR (formerly NREL) Annual Technology Baseline 2025 (fixed-bottom and floating); IRENA Renewable Power Generation Costs.</t>
        </is>
      </c>
    </row>
    <row r="67">
      <c r="A67" s="7" t="inlineStr">
        <is>
          <t>Offshore wind</t>
        </is>
      </c>
      <c r="B67" s="7" t="inlineStr">
        <is>
          <t>wind_capex_floating_eur_mw</t>
        </is>
      </c>
      <c r="C67" s="7" t="inlineStr">
        <is>
          <t>CAPEX, floating</t>
        </is>
      </c>
      <c r="D67" s="7" t="inlineStr">
        <is>
          <t>EUR/MW</t>
        </is>
      </c>
      <c r="E67" s="7" t="n">
        <v>3429000</v>
      </c>
      <c r="F67" s="7" t="n"/>
      <c r="G67" s="7" t="inlineStr">
        <is>
          <t>yes</t>
        </is>
      </c>
      <c r="H67" s="7" t="n"/>
      <c r="I67" s="7" t="inlineStr">
        <is>
          <t>1.35 x the bottom-fixed CAPEX. Floating wind costs 1.33 x bottom-fixed in Lanni et al. (2025, Table 3), 1.36 x in NREL's 2024 cost review and 1.56-1.70 x in the BVG Associates guides; test 3.30-4.32 MEUR/MW. The AAU workbook (v9) used 2.54 MEUR/MW for both.</t>
        </is>
      </c>
      <c r="J67" s="7" t="inlineStr">
        <is>
          <t>1.35 x bottom-fixed: Lanni et al. 2025; NREL Cost of Wind Energy Review 2024; BVG Associates 2024</t>
        </is>
      </c>
      <c r="K67" s="7" t="inlineStr">
        <is>
          <t>Danish Energy Agency catalogue for electricity and district heating (updated June 2026); NLR (formerly NREL) Annual Technology Baseline 2025 (fixed-bottom and floating); IRENA Renewable Power Generation Costs.</t>
        </is>
      </c>
    </row>
    <row r="68">
      <c r="A68" s="7" t="inlineStr">
        <is>
          <t>Offshore wind</t>
        </is>
      </c>
      <c r="B68" s="7" t="inlineStr">
        <is>
          <t>wind_life</t>
        </is>
      </c>
      <c r="C68" s="7" t="inlineStr">
        <is>
          <t>Lifetime</t>
        </is>
      </c>
      <c r="D68" s="7" t="inlineStr">
        <is>
          <t>yr</t>
        </is>
      </c>
      <c r="E68" s="7" t="n">
        <v>25</v>
      </c>
      <c r="F68" s="7" t="n"/>
      <c r="G68" s="7" t="n"/>
      <c r="H68" s="7" t="n"/>
      <c r="I68" s="7" t="n"/>
      <c r="J68" s="7" t="inlineStr">
        <is>
          <t>EVOLVE v9 model (OffShore-Onshore_Setting.py)</t>
        </is>
      </c>
      <c r="K68" s="7" t="inlineStr">
        <is>
          <t>Danish Energy Agency catalogue for electricity and district heating (updated June 2026); NLR (formerly NREL) Annual Technology Baseline 2025 (fixed-bottom and floating); IRENA Renewable Power Generation Costs.</t>
        </is>
      </c>
    </row>
    <row r="69">
      <c r="A69" s="7" t="inlineStr">
        <is>
          <t>Offshore wind</t>
        </is>
      </c>
      <c r="B69" s="7" t="inlineStr">
        <is>
          <t>wind_fom</t>
        </is>
      </c>
      <c r="C69" s="7" t="inlineStr">
        <is>
          <t>Fixed O&amp;M, bottom-fixed</t>
        </is>
      </c>
      <c r="D69" s="7" t="inlineStr">
        <is>
          <t>fraction/yr</t>
        </is>
      </c>
      <c r="E69" s="7" t="n">
        <v>0.025</v>
      </c>
      <c r="F69" s="7" t="n"/>
      <c r="G69" s="7" t="n"/>
      <c r="H69" s="7" t="n"/>
      <c r="I69" s="7" t="n"/>
      <c r="J69" s="7" t="inlineStr">
        <is>
          <t>EVOLVE v9 model (OffShore-Onshore_Setting.py)</t>
        </is>
      </c>
      <c r="K69" s="7" t="inlineStr">
        <is>
          <t>Danish Energy Agency catalogue for electricity and district heating (updated June 2026); NLR (formerly NREL) Annual Technology Baseline 2025 (fixed-bottom and floating); IRENA Renewable Power Generation Costs.</t>
        </is>
      </c>
    </row>
    <row r="70">
      <c r="A70" s="7" t="inlineStr">
        <is>
          <t>Offshore wind</t>
        </is>
      </c>
      <c r="B70" s="7" t="inlineStr">
        <is>
          <t>wind_fom_floating</t>
        </is>
      </c>
      <c r="C70" s="7" t="inlineStr">
        <is>
          <t>Fixed O&amp;M, floating</t>
        </is>
      </c>
      <c r="D70" s="7" t="inlineStr">
        <is>
          <t>fraction/yr</t>
        </is>
      </c>
      <c r="E70" s="7" t="n">
        <v>0.03</v>
      </c>
      <c r="F70" s="7" t="n"/>
      <c r="G70" s="7" t="n"/>
      <c r="H70" s="7" t="n"/>
      <c r="I70" s="7" t="n"/>
      <c r="J70" s="7" t="inlineStr">
        <is>
          <t>EVOLVE v9 model (OffShore-Onshore_Setting.py)</t>
        </is>
      </c>
      <c r="K70" s="7" t="inlineStr">
        <is>
          <t>Danish Energy Agency catalogue for electricity and district heating (updated June 2026); NLR (formerly NREL) Annual Technology Baseline 2025 (fixed-bottom and floating); IRENA Renewable Power Generation Costs.</t>
        </is>
      </c>
    </row>
    <row r="71">
      <c r="A71" s="7" t="inlineStr">
        <is>
          <t>Offshore wind</t>
        </is>
      </c>
      <c r="B71" s="7" t="inlineStr">
        <is>
          <t>turbine_mw</t>
        </is>
      </c>
      <c r="C71" s="7" t="inlineStr">
        <is>
          <t>Turbine rating (for the drawing)</t>
        </is>
      </c>
      <c r="D71" s="7" t="inlineStr">
        <is>
          <t>MW</t>
        </is>
      </c>
      <c r="E71" s="7" t="n">
        <v>15</v>
      </c>
      <c r="F71" s="7" t="n"/>
      <c r="G71" s="7" t="n"/>
      <c r="H71" s="7" t="inlineStr">
        <is>
          <t>advanced</t>
        </is>
      </c>
      <c r="I71" s="7" t="n"/>
      <c r="J71" s="7" t="inlineStr">
        <is>
          <t>IEA 15 MW reference turbine (Gaertner et al. 2020); drawings only</t>
        </is>
      </c>
      <c r="K71" s="7" t="inlineStr">
        <is>
          <t>Danish Energy Agency catalogue for electricity and district heating (updated June 2026); NLR (formerly NREL) Annual Technology Baseline 2025 (fixed-bottom and floating); IRENA Renewable Power Generation Costs.</t>
        </is>
      </c>
    </row>
    <row r="72">
      <c r="A72" s="7" t="inlineStr">
        <is>
          <t>Floating PV</t>
        </is>
      </c>
      <c r="B72" s="7" t="inlineStr">
        <is>
          <t>pv_capex_eur_kw</t>
        </is>
      </c>
      <c r="C72" s="7" t="inlineStr">
        <is>
          <t>CAPEX</t>
        </is>
      </c>
      <c r="D72" s="7" t="inlineStr">
        <is>
          <t>EUR/kW</t>
        </is>
      </c>
      <c r="E72" s="7" t="n">
        <v>1500</v>
      </c>
      <c r="F72" s="7" t="n"/>
      <c r="G72" s="7" t="inlineStr">
        <is>
          <t>yes</t>
        </is>
      </c>
      <c r="H72" s="7" t="n"/>
      <c r="I72" s="7" t="n"/>
      <c r="J72" s="7" t="inlineStr">
        <is>
          <t>EVOLVE v9 model (OffShore-Onshore_Setting.py)</t>
        </is>
      </c>
      <c r="K72" s="7" t="inlineStr">
        <is>
          <t>Literature and supplier quotes; NLR ATB utility PV as a floor plus a floating premium.</t>
        </is>
      </c>
    </row>
    <row r="73">
      <c r="A73" s="7" t="inlineStr">
        <is>
          <t>Floating PV</t>
        </is>
      </c>
      <c r="B73" s="7" t="inlineStr">
        <is>
          <t>pv_life</t>
        </is>
      </c>
      <c r="C73" s="7" t="inlineStr">
        <is>
          <t>Lifetime</t>
        </is>
      </c>
      <c r="D73" s="7" t="inlineStr">
        <is>
          <t>yr</t>
        </is>
      </c>
      <c r="E73" s="7" t="n">
        <v>25</v>
      </c>
      <c r="F73" s="7" t="n"/>
      <c r="G73" s="7" t="n"/>
      <c r="H73" s="7" t="n"/>
      <c r="I73" s="7" t="n"/>
      <c r="J73" s="7" t="inlineStr">
        <is>
          <t>EVOLVE v9 model (OffShore-Onshore_Setting.py)</t>
        </is>
      </c>
      <c r="K73" s="7" t="inlineStr">
        <is>
          <t>Literature and supplier quotes; NLR ATB utility PV as a floor plus a floating premium.</t>
        </is>
      </c>
    </row>
    <row r="74">
      <c r="A74" s="7" t="inlineStr">
        <is>
          <t>Floating PV</t>
        </is>
      </c>
      <c r="B74" s="7" t="inlineStr">
        <is>
          <t>pv_fom</t>
        </is>
      </c>
      <c r="C74" s="7" t="inlineStr">
        <is>
          <t>Fixed O&amp;M</t>
        </is>
      </c>
      <c r="D74" s="7" t="inlineStr">
        <is>
          <t>fraction/yr</t>
        </is>
      </c>
      <c r="E74" s="7" t="n">
        <v>0.02</v>
      </c>
      <c r="F74" s="7" t="n"/>
      <c r="G74" s="7" t="n"/>
      <c r="H74" s="7" t="n"/>
      <c r="I74" s="7" t="n"/>
      <c r="J74" s="7" t="inlineStr">
        <is>
          <t>EVOLVE v9 model (OffShore-Onshore_Setting.py)</t>
        </is>
      </c>
      <c r="K74" s="7" t="inlineStr">
        <is>
          <t>Literature and supplier quotes; NLR ATB utility PV as a floor plus a floating premium.</t>
        </is>
      </c>
    </row>
    <row r="75">
      <c r="A75" s="7" t="inlineStr">
        <is>
          <t>Electrolysis</t>
        </is>
      </c>
      <c r="B75" s="7" t="inlineStr">
        <is>
          <t>elec_capex_eur_kw</t>
        </is>
      </c>
      <c r="C75" s="7" t="inlineStr">
        <is>
          <t>CAPEX (stack + balance of plant)</t>
        </is>
      </c>
      <c r="D75" s="7" t="inlineStr">
        <is>
          <t>EUR/kW</t>
        </is>
      </c>
      <c r="E75" s="7" t="n">
        <v>2000</v>
      </c>
      <c r="F75" s="7" t="n"/>
      <c r="G75" s="7" t="inlineStr">
        <is>
          <t>yes</t>
        </is>
      </c>
      <c r="H75" s="7" t="n"/>
      <c r="I75" s="7" t="n"/>
      <c r="J75" s="7" t="inlineStr">
        <is>
          <t>EVOLVE v9 model (OffShore-Onshore_Setting.py)</t>
        </is>
      </c>
      <c r="K75" s="7" t="inlineStr">
        <is>
          <t>Danish Energy Agency catalogue for renewable fuels (updated Feb 2026).</t>
        </is>
      </c>
    </row>
    <row r="76">
      <c r="A76" s="7" t="inlineStr">
        <is>
          <t>Electrolysis</t>
        </is>
      </c>
      <c r="B76" s="7" t="inlineStr">
        <is>
          <t>electrolyzer_efficiency</t>
        </is>
      </c>
      <c r="C76" s="7" t="inlineStr">
        <is>
          <t>Efficiency (LHV)</t>
        </is>
      </c>
      <c r="D76" s="7" t="inlineStr">
        <is>
          <t>fraction</t>
        </is>
      </c>
      <c r="E76" s="7" t="n">
        <v>0.75</v>
      </c>
      <c r="F76" s="7" t="n"/>
      <c r="G76" s="7" t="n"/>
      <c r="H76" s="7" t="n"/>
      <c r="I76" s="7" t="n"/>
      <c r="J76" s="7" t="inlineStr">
        <is>
          <t>EVOLVE v9 model (OffShore-Onshore_Setting.py)</t>
        </is>
      </c>
      <c r="K76" s="7" t="inlineStr">
        <is>
          <t>Danish Energy Agency catalogue for renewable fuels (updated Feb 2026).</t>
        </is>
      </c>
    </row>
    <row r="77">
      <c r="A77" s="7" t="inlineStr">
        <is>
          <t>Electrolysis</t>
        </is>
      </c>
      <c r="B77" s="7" t="inlineStr">
        <is>
          <t>elec_life</t>
        </is>
      </c>
      <c r="C77" s="7" t="inlineStr">
        <is>
          <t>Lifetime (stack replacement)</t>
        </is>
      </c>
      <c r="D77" s="7" t="inlineStr">
        <is>
          <t>yr</t>
        </is>
      </c>
      <c r="E77" s="7" t="n">
        <v>15</v>
      </c>
      <c r="F77" s="7" t="n"/>
      <c r="G77" s="7" t="n"/>
      <c r="H77" s="7" t="n"/>
      <c r="I77" s="7" t="n"/>
      <c r="J77" s="7" t="inlineStr">
        <is>
          <t>EVOLVE v9 model (OffShore-Onshore_Setting.py)</t>
        </is>
      </c>
      <c r="K77" s="7" t="inlineStr">
        <is>
          <t>Danish Energy Agency catalogue for renewable fuels (updated Feb 2026).</t>
        </is>
      </c>
    </row>
    <row r="78">
      <c r="A78" s="7" t="inlineStr">
        <is>
          <t>Electrolysis</t>
        </is>
      </c>
      <c r="B78" s="7" t="inlineStr">
        <is>
          <t>elec_fom</t>
        </is>
      </c>
      <c r="C78" s="7" t="inlineStr">
        <is>
          <t>Fixed O&amp;M</t>
        </is>
      </c>
      <c r="D78" s="7" t="inlineStr">
        <is>
          <t>fraction/yr</t>
        </is>
      </c>
      <c r="E78" s="7" t="n">
        <v>0.015</v>
      </c>
      <c r="F78" s="7" t="n"/>
      <c r="G78" s="7" t="n"/>
      <c r="H78" s="7" t="n"/>
      <c r="I78" s="7" t="n"/>
      <c r="J78" s="7" t="inlineStr">
        <is>
          <t>EVOLVE v9 model (OffShore-Onshore_Setting.py)</t>
        </is>
      </c>
      <c r="K78" s="7" t="inlineStr">
        <is>
          <t>Danish Energy Agency catalogue for renewable fuels (updated Feb 2026).</t>
        </is>
      </c>
    </row>
    <row r="79">
      <c r="A79" s="7" t="inlineStr">
        <is>
          <t>Electrolysis</t>
        </is>
      </c>
      <c r="B79" s="7" t="inlineStr">
        <is>
          <t>area_elec_m2_mw</t>
        </is>
      </c>
      <c r="C79" s="7" t="inlineStr">
        <is>
          <t>Deck area</t>
        </is>
      </c>
      <c r="D79" s="7" t="inlineStr">
        <is>
          <t>m2/MW</t>
        </is>
      </c>
      <c r="E79" s="7" t="n">
        <v>200</v>
      </c>
      <c r="F79" s="7" t="n"/>
      <c r="G79" s="7" t="n"/>
      <c r="H79" s="7" t="inlineStr">
        <is>
          <t>advanced</t>
        </is>
      </c>
      <c r="I79" s="7" t="n"/>
      <c r="J79" s="7" t="inlineStr">
        <is>
          <t>EVOLVE v9 model (OffShore-Onshore_Setting.py)</t>
        </is>
      </c>
      <c r="K79" s="7" t="inlineStr">
        <is>
          <t>Danish Energy Agency catalogue for renewable fuels (updated Feb 2026).</t>
        </is>
      </c>
    </row>
    <row r="80">
      <c r="A80" s="7" t="inlineStr">
        <is>
          <t>Electrolysis</t>
        </is>
      </c>
      <c r="B80" s="7" t="inlineStr">
        <is>
          <t>wt_capex_eur_mw</t>
        </is>
      </c>
      <c r="C80" s="7" t="inlineStr">
        <is>
          <t>Water treatment CAPEX</t>
        </is>
      </c>
      <c r="D80" s="7" t="inlineStr">
        <is>
          <t>EUR/MW</t>
        </is>
      </c>
      <c r="E80" s="7" t="n">
        <v>20750</v>
      </c>
      <c r="F80" s="7" t="n"/>
      <c r="G80" s="7" t="n"/>
      <c r="H80" s="7" t="inlineStr">
        <is>
          <t>advanced</t>
        </is>
      </c>
      <c r="I80" s="7" t="n"/>
      <c r="J80" s="7" t="inlineStr">
        <is>
          <t>EVOLVE v9 model (OffShore-Onshore_Setting.py)</t>
        </is>
      </c>
      <c r="K80" s="7" t="inlineStr">
        <is>
          <t>Danish Energy Agency catalogue for renewable fuels (updated Feb 2026).</t>
        </is>
      </c>
    </row>
    <row r="81">
      <c r="A81" s="7" t="inlineStr">
        <is>
          <t>Electrolysis</t>
        </is>
      </c>
      <c r="B81" s="7" t="inlineStr">
        <is>
          <t>wt_life</t>
        </is>
      </c>
      <c r="C81" s="7" t="inlineStr">
        <is>
          <t>Water treatment lifetime</t>
        </is>
      </c>
      <c r="D81" s="7" t="inlineStr">
        <is>
          <t>yr</t>
        </is>
      </c>
      <c r="E81" s="7" t="n">
        <v>20</v>
      </c>
      <c r="F81" s="7" t="n"/>
      <c r="G81" s="7" t="n"/>
      <c r="H81" s="7" t="inlineStr">
        <is>
          <t>advanced</t>
        </is>
      </c>
      <c r="I81" s="7" t="n"/>
      <c r="J81" s="7" t="inlineStr">
        <is>
          <t>EVOLVE v9 model (OffShore-Onshore_Setting.py)</t>
        </is>
      </c>
      <c r="K81" s="7" t="inlineStr">
        <is>
          <t>Danish Energy Agency catalogue for renewable fuels (updated Feb 2026).</t>
        </is>
      </c>
    </row>
    <row r="82">
      <c r="A82" s="7" t="inlineStr">
        <is>
          <t>Electrolysis</t>
        </is>
      </c>
      <c r="B82" s="7" t="inlineStr">
        <is>
          <t>wt_fom</t>
        </is>
      </c>
      <c r="C82" s="7" t="inlineStr">
        <is>
          <t>Water treatment O&amp;M</t>
        </is>
      </c>
      <c r="D82" s="7" t="inlineStr">
        <is>
          <t>fraction/yr</t>
        </is>
      </c>
      <c r="E82" s="7" t="n">
        <v>0.1</v>
      </c>
      <c r="F82" s="7" t="n"/>
      <c r="G82" s="7" t="n"/>
      <c r="H82" s="7" t="inlineStr">
        <is>
          <t>advanced</t>
        </is>
      </c>
      <c r="I82" s="7" t="n"/>
      <c r="J82" s="7" t="inlineStr">
        <is>
          <t>EVOLVE v9 model (OffShore-Onshore_Setting.py)</t>
        </is>
      </c>
      <c r="K82" s="7" t="inlineStr">
        <is>
          <t>Danish Energy Agency catalogue for renewable fuels (updated Feb 2026).</t>
        </is>
      </c>
    </row>
    <row r="83">
      <c r="A83" s="7" t="inlineStr">
        <is>
          <t>Compression</t>
        </is>
      </c>
      <c r="B83" s="7" t="inlineStr">
        <is>
          <t>comp_p_in_bar</t>
        </is>
      </c>
      <c r="C83" s="7" t="inlineStr">
        <is>
          <t>Inlet pressure</t>
        </is>
      </c>
      <c r="D83" s="7" t="inlineStr">
        <is>
          <t>bar</t>
        </is>
      </c>
      <c r="E83" s="7" t="n">
        <v>30</v>
      </c>
      <c r="F83" s="7" t="n"/>
      <c r="G83" s="7" t="n"/>
      <c r="H83" s="7" t="n"/>
      <c r="I83" s="7" t="n"/>
      <c r="J83" s="7" t="inlineStr">
        <is>
          <t>EVOLVE v9 model (OffShore-Onshore_Setting.py)</t>
        </is>
      </c>
      <c r="K83" s="7" t="inlineStr">
        <is>
          <t>Danish Energy Agency renewable fuels catalogue; supplier data.</t>
        </is>
      </c>
    </row>
    <row r="84">
      <c r="A84" s="7" t="inlineStr">
        <is>
          <t>Compression</t>
        </is>
      </c>
      <c r="B84" s="7" t="inlineStr">
        <is>
          <t>comp_p_out_bar</t>
        </is>
      </c>
      <c r="C84" s="7" t="inlineStr">
        <is>
          <t>Outlet pressure</t>
        </is>
      </c>
      <c r="D84" s="7" t="inlineStr">
        <is>
          <t>bar</t>
        </is>
      </c>
      <c r="E84" s="7" t="n">
        <v>70</v>
      </c>
      <c r="F84" s="7" t="n"/>
      <c r="G84" s="7" t="n"/>
      <c r="H84" s="7" t="n"/>
      <c r="I84" s="7" t="n"/>
      <c r="J84" s="7" t="inlineStr">
        <is>
          <t>EVOLVE v9 model (OffShore-Onshore_Setting.py)</t>
        </is>
      </c>
      <c r="K84" s="7" t="inlineStr">
        <is>
          <t>Danish Energy Agency renewable fuels catalogue; supplier data.</t>
        </is>
      </c>
    </row>
    <row r="85">
      <c r="A85" s="7" t="inlineStr">
        <is>
          <t>Compression</t>
        </is>
      </c>
      <c r="B85" s="7" t="inlineStr">
        <is>
          <t>comp_isentropic_eff</t>
        </is>
      </c>
      <c r="C85" s="7" t="inlineStr">
        <is>
          <t>Isentropic efficiency</t>
        </is>
      </c>
      <c r="D85" s="7" t="inlineStr">
        <is>
          <t>fraction</t>
        </is>
      </c>
      <c r="E85" s="7" t="n">
        <v>0.75</v>
      </c>
      <c r="F85" s="7" t="n"/>
      <c r="G85" s="7" t="n"/>
      <c r="H85" s="7" t="n"/>
      <c r="I85" s="7" t="n"/>
      <c r="J85" s="7" t="inlineStr">
        <is>
          <t>EVOLVE v9 model (OffShore-Onshore_Setting.py)</t>
        </is>
      </c>
      <c r="K85" s="7" t="inlineStr">
        <is>
          <t>Danish Energy Agency renewable fuels catalogue; supplier data.</t>
        </is>
      </c>
    </row>
    <row r="86">
      <c r="A86" s="7" t="inlineStr">
        <is>
          <t>Compression</t>
        </is>
      </c>
      <c r="B86" s="7" t="inlineStr">
        <is>
          <t>comp_stages</t>
        </is>
      </c>
      <c r="C86" s="7" t="inlineStr">
        <is>
          <t>Stages</t>
        </is>
      </c>
      <c r="D86" s="7" t="inlineStr">
        <is>
          <t>-</t>
        </is>
      </c>
      <c r="E86" s="7" t="n">
        <v>2</v>
      </c>
      <c r="F86" s="7" t="n"/>
      <c r="G86" s="7" t="n"/>
      <c r="H86" s="7" t="inlineStr">
        <is>
          <t>advanced</t>
        </is>
      </c>
      <c r="I86" s="7" t="n"/>
      <c r="J86" s="7" t="inlineStr">
        <is>
          <t>EVOLVE v9 model (OffShore-Onshore_Setting.py)</t>
        </is>
      </c>
      <c r="K86" s="7" t="inlineStr">
        <is>
          <t>Danish Energy Agency renewable fuels catalogue; supplier data.</t>
        </is>
      </c>
    </row>
    <row r="87">
      <c r="A87" s="7" t="inlineStr">
        <is>
          <t>Compression</t>
        </is>
      </c>
      <c r="B87" s="7" t="inlineStr">
        <is>
          <t>comp_inlet_temp_k</t>
        </is>
      </c>
      <c r="C87" s="7" t="inlineStr">
        <is>
          <t>Inlet temperature</t>
        </is>
      </c>
      <c r="D87" s="7" t="inlineStr">
        <is>
          <t>K</t>
        </is>
      </c>
      <c r="E87" s="7" t="n">
        <v>313</v>
      </c>
      <c r="F87" s="7" t="n"/>
      <c r="G87" s="7" t="n"/>
      <c r="H87" s="7" t="inlineStr">
        <is>
          <t>advanced</t>
        </is>
      </c>
      <c r="I87" s="7" t="n"/>
      <c r="J87" s="7" t="inlineStr">
        <is>
          <t>EVOLVE v9 model (OffShore-Onshore_Setting.py)</t>
        </is>
      </c>
      <c r="K87" s="7" t="inlineStr">
        <is>
          <t>Danish Energy Agency renewable fuels catalogue; supplier data.</t>
        </is>
      </c>
    </row>
    <row r="88">
      <c r="A88" s="7" t="inlineStr">
        <is>
          <t>Compression</t>
        </is>
      </c>
      <c r="B88" s="7" t="inlineStr">
        <is>
          <t>comp_z</t>
        </is>
      </c>
      <c r="C88" s="7" t="inlineStr">
        <is>
          <t>Compressibility factor</t>
        </is>
      </c>
      <c r="D88" s="7" t="inlineStr">
        <is>
          <t>-</t>
        </is>
      </c>
      <c r="E88" s="7" t="n">
        <v>1.05</v>
      </c>
      <c r="F88" s="7" t="n"/>
      <c r="G88" s="7" t="n"/>
      <c r="H88" s="7" t="inlineStr">
        <is>
          <t>advanced</t>
        </is>
      </c>
      <c r="I88" s="7" t="n"/>
      <c r="J88" s="7" t="inlineStr">
        <is>
          <t>EVOLVE v9 model (OffShore-Onshore_Setting.py)</t>
        </is>
      </c>
      <c r="K88" s="7" t="inlineStr">
        <is>
          <t>Danish Energy Agency renewable fuels catalogue; supplier data.</t>
        </is>
      </c>
    </row>
    <row r="89">
      <c r="A89" s="7" t="inlineStr">
        <is>
          <t>Compression</t>
        </is>
      </c>
      <c r="B89" s="7" t="inlineStr">
        <is>
          <t>comp_gamma</t>
        </is>
      </c>
      <c r="C89" s="7" t="inlineStr">
        <is>
          <t>Heat capacity ratio of hydrogen</t>
        </is>
      </c>
      <c r="D89" s="7" t="inlineStr">
        <is>
          <t>-</t>
        </is>
      </c>
      <c r="E89" s="7" t="n">
        <v>1.41</v>
      </c>
      <c r="F89" s="7" t="n"/>
      <c r="G89" s="7" t="n"/>
      <c r="H89" s="7" t="inlineStr">
        <is>
          <t>advanced</t>
        </is>
      </c>
      <c r="I89" s="7" t="n"/>
      <c r="J89" s="7" t="inlineStr">
        <is>
          <t>Hydrogen heat capacity ratio (v9 used 1.41)</t>
        </is>
      </c>
      <c r="K89" s="7" t="inlineStr">
        <is>
          <t>Danish Energy Agency renewable fuels catalogue; supplier data.</t>
        </is>
      </c>
    </row>
    <row r="90">
      <c r="A90" s="7" t="inlineStr">
        <is>
          <t>Compression</t>
        </is>
      </c>
      <c r="B90" s="7" t="inlineStr">
        <is>
          <t>comp_capex_eur_mw</t>
        </is>
      </c>
      <c r="C90" s="7" t="inlineStr">
        <is>
          <t>CAPEX</t>
        </is>
      </c>
      <c r="D90" s="7" t="inlineStr">
        <is>
          <t>EUR/MW</t>
        </is>
      </c>
      <c r="E90" s="7" t="n">
        <v>5080000</v>
      </c>
      <c r="F90" s="7" t="n"/>
      <c r="G90" s="7" t="n"/>
      <c r="H90" s="7" t="n"/>
      <c r="I90" s="7" t="n"/>
      <c r="J90" s="7" t="inlineStr">
        <is>
          <t>ACER 2026 UIC median, compression stations 10-50 MW (gas and H2 blending), 5.08 MEUR/MW</t>
        </is>
      </c>
      <c r="K90" s="7" t="inlineStr">
        <is>
          <t>Danish Energy Agency renewable fuels catalogue; supplier data.</t>
        </is>
      </c>
    </row>
    <row r="91">
      <c r="A91" s="7" t="inlineStr">
        <is>
          <t>Compression</t>
        </is>
      </c>
      <c r="B91" s="7" t="inlineStr">
        <is>
          <t>comp_life</t>
        </is>
      </c>
      <c r="C91" s="7" t="inlineStr">
        <is>
          <t>Lifetime</t>
        </is>
      </c>
      <c r="D91" s="7" t="inlineStr">
        <is>
          <t>yr</t>
        </is>
      </c>
      <c r="E91" s="7" t="n">
        <v>20</v>
      </c>
      <c r="F91" s="7" t="n"/>
      <c r="G91" s="7" t="n"/>
      <c r="H91" s="7" t="n"/>
      <c r="I91" s="7" t="n"/>
      <c r="J91" s="7" t="inlineStr">
        <is>
          <t>EVOLVE v9 model (OffShore-Onshore_Setting.py)</t>
        </is>
      </c>
      <c r="K91" s="7" t="inlineStr">
        <is>
          <t>Danish Energy Agency renewable fuels catalogue; supplier data.</t>
        </is>
      </c>
    </row>
    <row r="92">
      <c r="A92" s="7" t="inlineStr">
        <is>
          <t>Compression</t>
        </is>
      </c>
      <c r="B92" s="7" t="inlineStr">
        <is>
          <t>comp_fom</t>
        </is>
      </c>
      <c r="C92" s="7" t="inlineStr">
        <is>
          <t>Fixed O&amp;M</t>
        </is>
      </c>
      <c r="D92" s="7" t="inlineStr">
        <is>
          <t>fraction/yr</t>
        </is>
      </c>
      <c r="E92" s="7" t="n">
        <v>0.03</v>
      </c>
      <c r="F92" s="7" t="n"/>
      <c r="G92" s="7" t="n"/>
      <c r="H92" s="7" t="n"/>
      <c r="I92" s="7" t="n"/>
      <c r="J92" s="7" t="inlineStr">
        <is>
          <t>EVOLVE v9 model (OffShore-Onshore_Setting.py)</t>
        </is>
      </c>
      <c r="K92" s="7" t="inlineStr">
        <is>
          <t>Danish Energy Agency renewable fuels catalogue; supplier data.</t>
        </is>
      </c>
    </row>
    <row r="93">
      <c r="A93" s="7" t="inlineStr">
        <is>
          <t>Compression</t>
        </is>
      </c>
      <c r="B93" s="7" t="inlineStr">
        <is>
          <t>area_comp_m2_mw</t>
        </is>
      </c>
      <c r="C93" s="7" t="inlineStr">
        <is>
          <t>Deck area</t>
        </is>
      </c>
      <c r="D93" s="7" t="inlineStr">
        <is>
          <t>m2/MW</t>
        </is>
      </c>
      <c r="E93" s="7" t="n">
        <v>100</v>
      </c>
      <c r="F93" s="7" t="n"/>
      <c r="G93" s="7" t="n"/>
      <c r="H93" s="7" t="inlineStr">
        <is>
          <t>advanced</t>
        </is>
      </c>
      <c r="I93" s="7" t="n"/>
      <c r="J93" s="7" t="inlineStr">
        <is>
          <t>EVOLVE v9 model (OffShore-Onshore_Setting.py)</t>
        </is>
      </c>
      <c r="K93" s="7" t="inlineStr">
        <is>
          <t>Danish Energy Agency renewable fuels catalogue; supplier data.</t>
        </is>
      </c>
    </row>
    <row r="94">
      <c r="A94" s="7" t="inlineStr">
        <is>
          <t>Fuel cell</t>
        </is>
      </c>
      <c r="B94" s="7" t="inlineStr">
        <is>
          <t>fc_efficiency_lhv</t>
        </is>
      </c>
      <c r="C94" s="7" t="inlineStr">
        <is>
          <t>Efficiency (LHV)</t>
        </is>
      </c>
      <c r="D94" s="7" t="inlineStr">
        <is>
          <t>fraction</t>
        </is>
      </c>
      <c r="E94" s="7" t="n">
        <v>0.5</v>
      </c>
      <c r="F94" s="7" t="n"/>
      <c r="G94" s="7" t="n"/>
      <c r="H94" s="7" t="n"/>
      <c r="I94" s="7" t="n"/>
      <c r="J94" s="7" t="inlineStr">
        <is>
          <t>EVOLVE v9 model (OffShore-Onshore_Setting.py)</t>
        </is>
      </c>
      <c r="K94" s="7" t="inlineStr">
        <is>
          <t>Danish Energy Agency technology catalogues; supplier data.</t>
        </is>
      </c>
    </row>
    <row r="95">
      <c r="A95" s="7" t="inlineStr">
        <is>
          <t>Fuel cell</t>
        </is>
      </c>
      <c r="B95" s="7" t="inlineStr">
        <is>
          <t>fc_capex_eur_kw</t>
        </is>
      </c>
      <c r="C95" s="7" t="inlineStr">
        <is>
          <t>CAPEX</t>
        </is>
      </c>
      <c r="D95" s="7" t="inlineStr">
        <is>
          <t>EUR/kW</t>
        </is>
      </c>
      <c r="E95" s="7" t="n">
        <v>1170</v>
      </c>
      <c r="F95" s="7" t="n"/>
      <c r="G95" s="7" t="n"/>
      <c r="H95" s="7" t="n"/>
      <c r="I95" s="7" t="n"/>
      <c r="J95" s="7" t="inlineStr">
        <is>
          <t>EVOLVE v9 model (OffShore-Onshore_Setting.py)</t>
        </is>
      </c>
      <c r="K95" s="7" t="inlineStr">
        <is>
          <t>Danish Energy Agency technology catalogues; supplier data.</t>
        </is>
      </c>
    </row>
    <row r="96">
      <c r="A96" s="7" t="inlineStr">
        <is>
          <t>Fuel cell</t>
        </is>
      </c>
      <c r="B96" s="7" t="inlineStr">
        <is>
          <t>fc_life</t>
        </is>
      </c>
      <c r="C96" s="7" t="inlineStr">
        <is>
          <t>Lifetime</t>
        </is>
      </c>
      <c r="D96" s="7" t="inlineStr">
        <is>
          <t>yr</t>
        </is>
      </c>
      <c r="E96" s="7" t="n">
        <v>15</v>
      </c>
      <c r="F96" s="7" t="n"/>
      <c r="G96" s="7" t="n"/>
      <c r="H96" s="7" t="n"/>
      <c r="I96" s="7" t="n"/>
      <c r="J96" s="7" t="inlineStr">
        <is>
          <t>EVOLVE v9 model (OffShore-Onshore_Setting.py)</t>
        </is>
      </c>
      <c r="K96" s="7" t="inlineStr">
        <is>
          <t>Danish Energy Agency technology catalogues; supplier data.</t>
        </is>
      </c>
    </row>
    <row r="97">
      <c r="A97" s="7" t="inlineStr">
        <is>
          <t>Fuel cell</t>
        </is>
      </c>
      <c r="B97" s="7" t="inlineStr">
        <is>
          <t>fc_fom</t>
        </is>
      </c>
      <c r="C97" s="7" t="inlineStr">
        <is>
          <t>Fixed O&amp;M</t>
        </is>
      </c>
      <c r="D97" s="7" t="inlineStr">
        <is>
          <t>fraction/yr</t>
        </is>
      </c>
      <c r="E97" s="7" t="n">
        <v>0.03</v>
      </c>
      <c r="F97" s="7" t="n"/>
      <c r="G97" s="7" t="n"/>
      <c r="H97" s="7" t="n"/>
      <c r="I97" s="7" t="n"/>
      <c r="J97" s="7" t="inlineStr">
        <is>
          <t>EVOLVE v9 model (OffShore-Onshore_Setting.py)</t>
        </is>
      </c>
      <c r="K97" s="7" t="inlineStr">
        <is>
          <t>Danish Energy Agency technology catalogues; supplier data.</t>
        </is>
      </c>
    </row>
    <row r="98">
      <c r="A98" s="7" t="inlineStr">
        <is>
          <t>Fuel cell</t>
        </is>
      </c>
      <c r="B98" s="7" t="inlineStr">
        <is>
          <t>area_fc_m2_mw</t>
        </is>
      </c>
      <c r="C98" s="7" t="inlineStr">
        <is>
          <t>Deck area</t>
        </is>
      </c>
      <c r="D98" s="7" t="inlineStr">
        <is>
          <t>m2/MW</t>
        </is>
      </c>
      <c r="E98" s="7" t="n">
        <v>120</v>
      </c>
      <c r="F98" s="7" t="n"/>
      <c r="G98" s="7" t="n"/>
      <c r="H98" s="7" t="inlineStr">
        <is>
          <t>advanced</t>
        </is>
      </c>
      <c r="I98" s="7" t="n"/>
      <c r="J98" s="7" t="inlineStr">
        <is>
          <t>EVOLVE v9 model (OffShore-Onshore_Setting.py)</t>
        </is>
      </c>
      <c r="K98" s="7" t="inlineStr">
        <is>
          <t>Danish Energy Agency technology catalogues; supplier data.</t>
        </is>
      </c>
    </row>
    <row r="99">
      <c r="A99" s="7" t="inlineStr">
        <is>
          <t>Battery</t>
        </is>
      </c>
      <c r="B99" s="7" t="inlineStr">
        <is>
          <t>batt_capex_e_eur_mwh</t>
        </is>
      </c>
      <c r="C99" s="7" t="inlineStr">
        <is>
          <t>Energy CAPEX</t>
        </is>
      </c>
      <c r="D99" s="7" t="inlineStr">
        <is>
          <t>EUR/MWh</t>
        </is>
      </c>
      <c r="E99" s="7" t="n">
        <v>160000</v>
      </c>
      <c r="F99" s="7" t="n"/>
      <c r="G99" s="7" t="n"/>
      <c r="H99" s="7" t="n"/>
      <c r="I99" s="7" t="n"/>
      <c r="J99" s="7" t="inlineStr">
        <is>
          <t>EVOLVE v9 model (OffShore-Onshore_Setting.py)</t>
        </is>
      </c>
      <c r="K99" s="7" t="inlineStr">
        <is>
          <t>Danish Energy Agency energy storage catalogue (April 2024); NLR ATB utility-scale battery storage.</t>
        </is>
      </c>
    </row>
    <row r="100">
      <c r="A100" s="7" t="inlineStr">
        <is>
          <t>Battery</t>
        </is>
      </c>
      <c r="B100" s="7" t="inlineStr">
        <is>
          <t>batt_capex_p_eur_mw</t>
        </is>
      </c>
      <c r="C100" s="7" t="inlineStr">
        <is>
          <t>Power CAPEX</t>
        </is>
      </c>
      <c r="D100" s="7" t="inlineStr">
        <is>
          <t>EUR/MW</t>
        </is>
      </c>
      <c r="E100" s="7" t="n">
        <v>100000</v>
      </c>
      <c r="F100" s="7" t="n"/>
      <c r="G100" s="7" t="inlineStr">
        <is>
          <t>yes</t>
        </is>
      </c>
      <c r="H100" s="7" t="n"/>
      <c r="I100" s="7" t="inlineStr">
        <is>
          <t>Power conversion system and grid interface. With 160 EUR/kWh for energy, a 4-hour system costs 740 EUR/kW (185 EUR/kWh), slightly above BNEF's 2025 European turnkey average (177 USD/kWh).</t>
        </is>
      </c>
      <c r="J100" s="7" t="inlineStr">
        <is>
          <t>Assumption checked against BNEF 2025 turnkey BESS prices (Europe 177 USD/kWh); the v9 value 5.34 MEUR/MW made a 4-hour battery about nine times the market price</t>
        </is>
      </c>
      <c r="K100" s="7" t="inlineStr">
        <is>
          <t>Danish Energy Agency energy storage catalogue (April 2024); NLR ATB utility-scale battery storage.</t>
        </is>
      </c>
    </row>
    <row r="101">
      <c r="A101" s="7" t="inlineStr">
        <is>
          <t>Battery</t>
        </is>
      </c>
      <c r="B101" s="7" t="inlineStr">
        <is>
          <t>batt_eta</t>
        </is>
      </c>
      <c r="C101" s="7" t="inlineStr">
        <is>
          <t>Charge and discharge efficiency (each way)</t>
        </is>
      </c>
      <c r="D101" s="7" t="inlineStr">
        <is>
          <t>fraction</t>
        </is>
      </c>
      <c r="E101" s="7" t="n">
        <v>0.95</v>
      </c>
      <c r="F101" s="7" t="n"/>
      <c r="G101" s="7" t="n"/>
      <c r="H101" s="7" t="n"/>
      <c r="I101" s="7" t="n"/>
      <c r="J101" s="7" t="inlineStr">
        <is>
          <t>EVOLVE v9 model (OffShore-Onshore_Setting.py)</t>
        </is>
      </c>
      <c r="K101" s="7" t="inlineStr">
        <is>
          <t>Danish Energy Agency energy storage catalogue (April 2024); NLR ATB utility-scale battery storage.</t>
        </is>
      </c>
    </row>
    <row r="102">
      <c r="A102" s="7" t="inlineStr">
        <is>
          <t>Battery</t>
        </is>
      </c>
      <c r="B102" s="7" t="inlineStr">
        <is>
          <t>batt_life</t>
        </is>
      </c>
      <c r="C102" s="7" t="inlineStr">
        <is>
          <t>Lifetime</t>
        </is>
      </c>
      <c r="D102" s="7" t="inlineStr">
        <is>
          <t>yr</t>
        </is>
      </c>
      <c r="E102" s="7" t="n">
        <v>15</v>
      </c>
      <c r="F102" s="7" t="n"/>
      <c r="G102" s="7" t="n"/>
      <c r="H102" s="7" t="n"/>
      <c r="I102" s="7" t="n"/>
      <c r="J102" s="7" t="inlineStr">
        <is>
          <t>EVOLVE v9 model (OffShore-Onshore_Setting.py)</t>
        </is>
      </c>
      <c r="K102" s="7" t="inlineStr">
        <is>
          <t>Danish Energy Agency energy storage catalogue (April 2024); NLR ATB utility-scale battery storage.</t>
        </is>
      </c>
    </row>
    <row r="103">
      <c r="A103" s="7" t="inlineStr">
        <is>
          <t>Battery</t>
        </is>
      </c>
      <c r="B103" s="7" t="inlineStr">
        <is>
          <t>batt_fom</t>
        </is>
      </c>
      <c r="C103" s="7" t="inlineStr">
        <is>
          <t>Fixed O&amp;M</t>
        </is>
      </c>
      <c r="D103" s="7" t="inlineStr">
        <is>
          <t>fraction/yr</t>
        </is>
      </c>
      <c r="E103" s="7" t="n">
        <v>0.02</v>
      </c>
      <c r="F103" s="7" t="n"/>
      <c r="G103" s="7" t="n"/>
      <c r="H103" s="7" t="n"/>
      <c r="I103" s="7" t="n"/>
      <c r="J103" s="7" t="inlineStr">
        <is>
          <t>EVOLVE v9 model (OffShore-Onshore_Setting.py)</t>
        </is>
      </c>
      <c r="K103" s="7" t="inlineStr">
        <is>
          <t>Danish Energy Agency energy storage catalogue (April 2024); NLR ATB utility-scale battery storage.</t>
        </is>
      </c>
    </row>
    <row r="104">
      <c r="A104" s="7" t="inlineStr">
        <is>
          <t>Battery</t>
        </is>
      </c>
      <c r="B104" s="7" t="inlineStr">
        <is>
          <t>batt_vom</t>
        </is>
      </c>
      <c r="C104" s="7" t="inlineStr">
        <is>
          <t>Variable O&amp;M</t>
        </is>
      </c>
      <c r="D104" s="7" t="inlineStr">
        <is>
          <t>EUR/MWh</t>
        </is>
      </c>
      <c r="E104" s="7" t="n">
        <v>1.19</v>
      </c>
      <c r="F104" s="7" t="n"/>
      <c r="G104" s="7" t="n"/>
      <c r="H104" s="7" t="n"/>
      <c r="I104" s="7" t="n"/>
      <c r="J104" s="7" t="inlineStr">
        <is>
          <t>EVOLVE v9 model (OffShore-Onshore_Setting.py)</t>
        </is>
      </c>
      <c r="K104" s="7" t="inlineStr">
        <is>
          <t>Danish Energy Agency energy storage catalogue (April 2024); NLR ATB utility-scale battery storage.</t>
        </is>
      </c>
    </row>
    <row r="105">
      <c r="A105" s="7" t="inlineStr">
        <is>
          <t>Battery</t>
        </is>
      </c>
      <c r="B105" s="7" t="inlineStr">
        <is>
          <t>area_batt_m2_mwh</t>
        </is>
      </c>
      <c r="C105" s="7" t="inlineStr">
        <is>
          <t>Deck area</t>
        </is>
      </c>
      <c r="D105" s="7" t="inlineStr">
        <is>
          <t>m2/MWh</t>
        </is>
      </c>
      <c r="E105" s="7" t="n">
        <v>25</v>
      </c>
      <c r="F105" s="7" t="n"/>
      <c r="G105" s="7" t="n"/>
      <c r="H105" s="7" t="inlineStr">
        <is>
          <t>advanced</t>
        </is>
      </c>
      <c r="I105" s="7" t="n"/>
      <c r="J105" s="7" t="inlineStr">
        <is>
          <t>EVOLVE v9 model (OffShore-Onshore_Setting.py)</t>
        </is>
      </c>
      <c r="K105" s="7" t="inlineStr">
        <is>
          <t>Danish Energy Agency energy storage catalogue (April 2024); NLR ATB utility-scale battery storage.</t>
        </is>
      </c>
    </row>
    <row r="106">
      <c r="A106" s="7" t="inlineStr">
        <is>
          <t>Battery</t>
        </is>
      </c>
      <c r="B106" s="7" t="inlineStr">
        <is>
          <t>batt_max_mwh</t>
        </is>
      </c>
      <c r="C106" s="7" t="inlineStr">
        <is>
          <t>Largest battery allowed, energy (each site)</t>
        </is>
      </c>
      <c r="D106" s="7" t="inlineStr">
        <is>
          <t>MWh</t>
        </is>
      </c>
      <c r="E106" s="7" t="n">
        <v>100000</v>
      </c>
      <c r="F106" s="7" t="n"/>
      <c r="G106" s="7" t="n"/>
      <c r="H106" s="7" t="inlineStr">
        <is>
          <t>advanced</t>
        </is>
      </c>
      <c r="I106" s="7" t="n"/>
      <c r="J106" s="7" t="inlineStr">
        <is>
          <t>EVOLVE v9 model (OffShore-Onshore_Setting.py)</t>
        </is>
      </c>
      <c r="K106" s="7" t="inlineStr">
        <is>
          <t>Danish Energy Agency energy storage catalogue (April 2024); NLR ATB utility-scale battery storage.</t>
        </is>
      </c>
    </row>
    <row r="107">
      <c r="A107" s="7" t="inlineStr">
        <is>
          <t>Battery</t>
        </is>
      </c>
      <c r="B107" s="7" t="inlineStr">
        <is>
          <t>batt_max_mw</t>
        </is>
      </c>
      <c r="C107" s="7" t="inlineStr">
        <is>
          <t>Largest battery allowed, power (each site)</t>
        </is>
      </c>
      <c r="D107" s="7" t="inlineStr">
        <is>
          <t>MW</t>
        </is>
      </c>
      <c r="E107" s="7" t="n">
        <v>20000</v>
      </c>
      <c r="F107" s="7" t="n"/>
      <c r="G107" s="7" t="n"/>
      <c r="H107" s="7" t="inlineStr">
        <is>
          <t>advanced</t>
        </is>
      </c>
      <c r="I107" s="7" t="n"/>
      <c r="J107" s="7" t="inlineStr">
        <is>
          <t>EVOLVE v9 model (OffShore-Onshore_Setting.py)</t>
        </is>
      </c>
      <c r="K107" s="7" t="inlineStr">
        <is>
          <t>Danish Energy Agency energy storage catalogue (April 2024); NLR ATB utility-scale battery storage.</t>
        </is>
      </c>
    </row>
    <row r="108">
      <c r="A108" s="7" t="inlineStr">
        <is>
          <t>Hydrogen tank</t>
        </is>
      </c>
      <c r="B108" s="7" t="inlineStr">
        <is>
          <t>tank_capex_eur_kg</t>
        </is>
      </c>
      <c r="C108" s="7" t="inlineStr">
        <is>
          <t>CAPEX</t>
        </is>
      </c>
      <c r="D108" s="7" t="inlineStr">
        <is>
          <t>EUR/kg</t>
        </is>
      </c>
      <c r="E108" s="7" t="n">
        <v>650</v>
      </c>
      <c r="F108" s="7" t="n"/>
      <c r="G108" s="7" t="n"/>
      <c r="H108" s="7" t="n"/>
      <c r="I108" s="7" t="n"/>
      <c r="J108" s="7" t="inlineStr">
        <is>
          <t>EVOLVE v9 model (OffShore-Onshore_Setting.py)</t>
        </is>
      </c>
      <c r="K108" s="7" t="inlineStr">
        <is>
          <t>Danish Energy Agency energy storage catalogue; supplier data.</t>
        </is>
      </c>
    </row>
    <row r="109">
      <c r="A109" s="7" t="inlineStr">
        <is>
          <t>Hydrogen tank</t>
        </is>
      </c>
      <c r="B109" s="7" t="inlineStr">
        <is>
          <t>tank_life</t>
        </is>
      </c>
      <c r="C109" s="7" t="inlineStr">
        <is>
          <t>Lifetime</t>
        </is>
      </c>
      <c r="D109" s="7" t="inlineStr">
        <is>
          <t>yr</t>
        </is>
      </c>
      <c r="E109" s="7" t="n">
        <v>20</v>
      </c>
      <c r="F109" s="7" t="n"/>
      <c r="G109" s="7" t="n"/>
      <c r="H109" s="7" t="n"/>
      <c r="I109" s="7" t="n"/>
      <c r="J109" s="7" t="inlineStr">
        <is>
          <t>EVOLVE v9 model (OffShore-Onshore_Setting.py)</t>
        </is>
      </c>
      <c r="K109" s="7" t="inlineStr">
        <is>
          <t>Danish Energy Agency energy storage catalogue; supplier data.</t>
        </is>
      </c>
    </row>
    <row r="110">
      <c r="A110" s="7" t="inlineStr">
        <is>
          <t>Hydrogen tank</t>
        </is>
      </c>
      <c r="B110" s="7" t="inlineStr">
        <is>
          <t>tank_fom</t>
        </is>
      </c>
      <c r="C110" s="7" t="inlineStr">
        <is>
          <t>Fixed O&amp;M</t>
        </is>
      </c>
      <c r="D110" s="7" t="inlineStr">
        <is>
          <t>fraction/yr</t>
        </is>
      </c>
      <c r="E110" s="7" t="n">
        <v>0.02</v>
      </c>
      <c r="F110" s="7" t="n"/>
      <c r="G110" s="7" t="n"/>
      <c r="H110" s="7" t="n"/>
      <c r="I110" s="7" t="n"/>
      <c r="J110" s="7" t="inlineStr">
        <is>
          <t>EVOLVE v9 model (OffShore-Onshore_Setting.py)</t>
        </is>
      </c>
      <c r="K110" s="7" t="inlineStr">
        <is>
          <t>Danish Energy Agency energy storage catalogue; supplier data.</t>
        </is>
      </c>
    </row>
    <row r="111">
      <c r="A111" s="7" t="inlineStr">
        <is>
          <t>Hydrogen tank</t>
        </is>
      </c>
      <c r="B111" s="7" t="inlineStr">
        <is>
          <t>tank_vom</t>
        </is>
      </c>
      <c r="C111" s="7" t="inlineStr">
        <is>
          <t>Variable O&amp;M</t>
        </is>
      </c>
      <c r="D111" s="7" t="inlineStr">
        <is>
          <t>EUR/kg</t>
        </is>
      </c>
      <c r="E111" s="7" t="n">
        <v>0.01</v>
      </c>
      <c r="F111" s="7" t="n"/>
      <c r="G111" s="7" t="n"/>
      <c r="H111" s="7" t="n"/>
      <c r="I111" s="7" t="n"/>
      <c r="J111" s="7" t="inlineStr">
        <is>
          <t>EVOLVE v9 model (OffShore-Onshore_Setting.py)</t>
        </is>
      </c>
      <c r="K111" s="7" t="inlineStr">
        <is>
          <t>Danish Energy Agency energy storage catalogue; supplier data.</t>
        </is>
      </c>
    </row>
    <row r="112">
      <c r="A112" s="7" t="inlineStr">
        <is>
          <t>Hydrogen tank</t>
        </is>
      </c>
      <c r="B112" s="7" t="inlineStr">
        <is>
          <t>area_tank_m2_kg</t>
        </is>
      </c>
      <c r="C112" s="7" t="inlineStr">
        <is>
          <t>Deck area</t>
        </is>
      </c>
      <c r="D112" s="7" t="inlineStr">
        <is>
          <t>m2/kg</t>
        </is>
      </c>
      <c r="E112" s="7" t="n">
        <v>1.5</v>
      </c>
      <c r="F112" s="7" t="n"/>
      <c r="G112" s="7" t="n"/>
      <c r="H112" s="7" t="inlineStr">
        <is>
          <t>advanced</t>
        </is>
      </c>
      <c r="I112" s="7" t="n"/>
      <c r="J112" s="7" t="inlineStr">
        <is>
          <t>EVOLVE v9 model (OffShore-Onshore_Setting.py)</t>
        </is>
      </c>
      <c r="K112" s="7" t="inlineStr">
        <is>
          <t>Danish Energy Agency energy storage catalogue; supplier data.</t>
        </is>
      </c>
    </row>
    <row r="113">
      <c r="A113" s="7" t="inlineStr">
        <is>
          <t>Hydrogen tank</t>
        </is>
      </c>
      <c r="B113" s="7" t="inlineStr">
        <is>
          <t>tank_max_kg</t>
        </is>
      </c>
      <c r="C113" s="7" t="inlineStr">
        <is>
          <t>Largest tank allowed (each site)</t>
        </is>
      </c>
      <c r="D113" s="7" t="inlineStr">
        <is>
          <t>kg</t>
        </is>
      </c>
      <c r="E113" s="7" t="n">
        <v>5000000</v>
      </c>
      <c r="F113" s="7" t="n"/>
      <c r="G113" s="7" t="n"/>
      <c r="H113" s="7" t="inlineStr">
        <is>
          <t>advanced</t>
        </is>
      </c>
      <c r="I113" s="7" t="n"/>
      <c r="J113" s="7" t="inlineStr">
        <is>
          <t>EVOLVE v9 model (OffShore-Onshore_Setting.py)</t>
        </is>
      </c>
      <c r="K113" s="7" t="inlineStr">
        <is>
          <t>Danish Energy Agency energy storage catalogue; supplier data.</t>
        </is>
      </c>
    </row>
    <row r="114">
      <c r="A114" s="7" t="inlineStr">
        <is>
          <t>Export cable</t>
        </is>
      </c>
      <c r="B114" s="7" t="inlineStr">
        <is>
          <t>cable_cost_model</t>
        </is>
      </c>
      <c r="C114" s="7" t="inlineStr">
        <is>
          <t>Cable cost model</t>
        </is>
      </c>
      <c r="D114" s="7" t="inlineStr">
        <is>
          <t>-</t>
        </is>
      </c>
      <c r="E114" s="7" t="inlineStr">
        <is>
          <t>catalogue</t>
        </is>
      </c>
      <c r="F114" s="7" t="inlineStr">
        <is>
          <t>catalogue, v9 linear</t>
        </is>
      </c>
      <c r="G114" s="7" t="n"/>
      <c r="H114" s="7" t="n"/>
      <c r="I114" s="7" t="inlineStr">
        <is>
          <t>catalogue: every AC voltage and conductor size with reactors at both ends or also mid-route, and a VSC HVDC link; the model chooses the option, the circuits and the capacity exactly. v9 linear: the earlier project model (cost per MW, HVAC up to a distance limit), kept for comparison.</t>
        </is>
      </c>
      <c r="J114" s="7" t="inlineStr">
        <is>
          <t>catalogue: this handbook, chapter Cost model; v9 linear: EVOLVE v9 model</t>
        </is>
      </c>
      <c r="K114"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15">
      <c r="A115" s="7" t="inlineStr">
        <is>
          <t>Export cable</t>
        </is>
      </c>
      <c r="B115" s="7" t="inlineStr">
        <is>
          <t>ac_install_eur_km</t>
        </is>
      </c>
      <c r="C115" s="7" t="inlineStr">
        <is>
          <t>AC cable installation per circuit-km</t>
        </is>
      </c>
      <c r="D115" s="7" t="inlineStr">
        <is>
          <t>EUR/km</t>
        </is>
      </c>
      <c r="E115" s="7" t="n">
        <v>910000</v>
      </c>
      <c r="F115" s="7" t="n"/>
      <c r="G115" s="7" t="n"/>
      <c r="H115" s="7" t="n"/>
      <c r="I115" s="7" t="inlineStr">
        <is>
          <t>Laying and burial of one AC circuit, added to the cable supply cost.</t>
        </is>
      </c>
      <c r="J115" s="7" t="inlineStr">
        <is>
          <t>ENTSO-E installation 0.91 MEUR/km (reviewed in Hartel et al. 2017); with ORBIT supply it reproduces ACER 2026's AC submarine cable median 2.30 MEUR/km at 220 kV 1000 mm2</t>
        </is>
      </c>
      <c r="K115"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16">
      <c r="A116" s="7" t="inlineStr">
        <is>
          <t>Export cable</t>
        </is>
      </c>
      <c r="B116" s="7" t="inlineStr">
        <is>
          <t>ac_supply_factor</t>
        </is>
      </c>
      <c r="C116" s="7" t="inlineStr">
        <is>
          <t>AC cable supply cost factor</t>
        </is>
      </c>
      <c r="D116" s="7" t="inlineStr">
        <is>
          <t>x</t>
        </is>
      </c>
      <c r="E116" s="7" t="n">
        <v>1</v>
      </c>
      <c r="F116" s="7" t="n"/>
      <c r="G116" s="7" t="n"/>
      <c r="H116" s="7" t="inlineStr">
        <is>
          <t>advanced</t>
        </is>
      </c>
      <c r="I116" s="7" t="inlineStr">
        <is>
          <t>Multiplies the NREL ORBIT supply prices (sensitivity).</t>
        </is>
      </c>
      <c r="J116" s="7" t="n"/>
      <c r="K116"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17">
      <c r="A117" s="7" t="inlineStr">
        <is>
          <t>Export cable</t>
        </is>
      </c>
      <c r="B117" s="7" t="inlineStr">
        <is>
          <t>usd_eur</t>
        </is>
      </c>
      <c r="C117" s="7" t="inlineStr">
        <is>
          <t>EUR per USD for ORBIT prices</t>
        </is>
      </c>
      <c r="D117" s="7" t="inlineStr">
        <is>
          <t>EUR/USD</t>
        </is>
      </c>
      <c r="E117" s="7" t="n">
        <v>0.924</v>
      </c>
      <c r="F117" s="7" t="n"/>
      <c r="G117" s="7" t="n"/>
      <c r="H117" s="7" t="inlineStr">
        <is>
          <t>advanced</t>
        </is>
      </c>
      <c r="I117" s="7" t="n"/>
      <c r="J117" s="7" t="inlineStr">
        <is>
          <t>ECB reference rate, 2024 average 1.082 USD per EUR</t>
        </is>
      </c>
      <c r="K117"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18">
      <c r="A118" s="7" t="inlineStr">
        <is>
          <t>Export cable</t>
        </is>
      </c>
      <c r="B118" s="7" t="inlineStr">
        <is>
          <t>grid_power_factor</t>
        </is>
      </c>
      <c r="C118" s="7" t="inlineStr">
        <is>
          <t>Power factor at the grid connection</t>
        </is>
      </c>
      <c r="D118" s="7" t="inlineStr">
        <is>
          <t>-</t>
        </is>
      </c>
      <c r="E118" s="7" t="n">
        <v>0.95</v>
      </c>
      <c r="F118" s="7" t="n"/>
      <c r="G118" s="7" t="n"/>
      <c r="H118" s="7" t="inlineStr">
        <is>
          <t>advanced</t>
        </is>
      </c>
      <c r="I118" s="7" t="inlineStr">
        <is>
          <t>Reactive power the AC link must carry at full output (grid-code capability).</t>
        </is>
      </c>
      <c r="J118" s="7" t="inlineStr">
        <is>
          <t>assumption (typical grid-code requirement)</t>
        </is>
      </c>
      <c r="K118"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19">
      <c r="A119" s="7" t="inlineStr">
        <is>
          <t>Export cable</t>
        </is>
      </c>
      <c r="B119" s="7" t="inlineStr">
        <is>
          <t>cable_loss_factor</t>
        </is>
      </c>
      <c r="C119" s="7" t="inlineStr">
        <is>
          <t>AC loss factor for screen and armour</t>
        </is>
      </c>
      <c r="D119" s="7" t="inlineStr">
        <is>
          <t>x</t>
        </is>
      </c>
      <c r="E119" s="7" t="n">
        <v>1.5</v>
      </c>
      <c r="F119" s="7" t="n"/>
      <c r="G119" s="7" t="n"/>
      <c r="H119" s="7" t="inlineStr">
        <is>
          <t>advanced</t>
        </is>
      </c>
      <c r="I119" s="7" t="inlineStr">
        <is>
          <t>Multiplies the conductor resistance for screen and armour losses.</t>
        </is>
      </c>
      <c r="J119" s="7" t="inlineStr">
        <is>
          <t>Perez-Rua, Lumbreras, Ramos &amp; Cutululis, Wind Energy 25 (2022)</t>
        </is>
      </c>
      <c r="K119"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0">
      <c r="A120" s="7" t="inlineStr">
        <is>
          <t>Export cable</t>
        </is>
      </c>
      <c r="B120" s="7" t="inlineStr">
        <is>
          <t>cable_tan_delta</t>
        </is>
      </c>
      <c r="C120" s="7" t="inlineStr">
        <is>
          <t>XLPE dielectric loss factor tan(delta)</t>
        </is>
      </c>
      <c r="D120" s="7" t="inlineStr">
        <is>
          <t>-</t>
        </is>
      </c>
      <c r="E120" s="7" t="n">
        <v>0.001</v>
      </c>
      <c r="F120" s="7" t="n"/>
      <c r="G120" s="7" t="n"/>
      <c r="H120" s="7" t="inlineStr">
        <is>
          <t>advanced</t>
        </is>
      </c>
      <c r="I120" s="7" t="n"/>
      <c r="J120" s="7" t="inlineStr">
        <is>
          <t>IEC 60287-1-1 typical value for XLPE</t>
        </is>
      </c>
      <c r="K120"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1">
      <c r="A121" s="7" t="inlineStr">
        <is>
          <t>Export cable</t>
        </is>
      </c>
      <c r="B121" s="7" t="inlineStr">
        <is>
          <t>reactor_eur_mvar</t>
        </is>
      </c>
      <c r="C121" s="7" t="inlineStr">
        <is>
          <t>Shunt reactor cost per MVAr</t>
        </is>
      </c>
      <c r="D121" s="7" t="inlineStr">
        <is>
          <t>EUR/MVAr</t>
        </is>
      </c>
      <c r="E121" s="7" t="n">
        <v>20000</v>
      </c>
      <c r="F121" s="7" t="n"/>
      <c r="G121" s="7" t="n"/>
      <c r="H121" s="7" t="n"/>
      <c r="I121" s="7" t="inlineStr">
        <is>
          <t>Charging power of each AC circuit is fully compensated by reactors at both ends (and mid-route).</t>
        </is>
      </c>
      <c r="J121" s="7" t="inlineStr">
        <is>
          <t>10-30 kEUR/MVAr in the literature: ORBIT 10-14 kUSD/MVAr, Dicorato-type functions 10.5-15.8 kEUR/MVAr, NSCOGI 2011 2.8-3.0 MEUR per 100 MVAr</t>
        </is>
      </c>
      <c r="K121"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2">
      <c r="A122" s="7" t="inlineStr">
        <is>
          <t>Export cable</t>
        </is>
      </c>
      <c r="B122" s="7" t="inlineStr">
        <is>
          <t>reactor_fixed_eur</t>
        </is>
      </c>
      <c r="C122" s="7" t="inlineStr">
        <is>
          <t>Shunt reactor fixed cost per site and circuit</t>
        </is>
      </c>
      <c r="D122" s="7" t="inlineStr">
        <is>
          <t>EUR</t>
        </is>
      </c>
      <c r="E122" s="7" t="n">
        <v>1000000</v>
      </c>
      <c r="F122" s="7" t="n"/>
      <c r="G122" s="7" t="n"/>
      <c r="H122" s="7" t="n"/>
      <c r="I122" s="7" t="n"/>
      <c r="J122" s="7" t="inlineStr">
        <is>
          <t>0.8-1.2 MEUR fixed term of Dicorato-type functions, rounded up</t>
        </is>
      </c>
      <c r="K122"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3">
      <c r="A123" s="7" t="inlineStr">
        <is>
          <t>Export cable</t>
        </is>
      </c>
      <c r="B123" s="7" t="inlineStr">
        <is>
          <t>allow_midroute</t>
        </is>
      </c>
      <c r="C123" s="7" t="inlineStr">
        <is>
          <t>Allow a mid-route compensation platform</t>
        </is>
      </c>
      <c r="D123" s="7" t="inlineStr">
        <is>
          <t>-</t>
        </is>
      </c>
      <c r="E123" s="7" t="inlineStr">
        <is>
          <t>True</t>
        </is>
      </c>
      <c r="F123" s="7" t="n"/>
      <c r="G123" s="7" t="n"/>
      <c r="H123" s="7" t="n"/>
      <c r="I123" s="7" t="n"/>
      <c r="J123" s="7" t="n"/>
      <c r="K123"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4">
      <c r="A124" s="7" t="inlineStr">
        <is>
          <t>Export cable</t>
        </is>
      </c>
      <c r="B124" s="7" t="inlineStr">
        <is>
          <t>midroute_platform_eur</t>
        </is>
      </c>
      <c r="C124" s="7" t="inlineStr">
        <is>
          <t>Mid-route compensation platform</t>
        </is>
      </c>
      <c r="D124" s="7" t="inlineStr">
        <is>
          <t>EUR</t>
        </is>
      </c>
      <c r="E124" s="7" t="n">
        <v>50000000</v>
      </c>
      <c r="F124" s="7" t="n"/>
      <c r="G124" s="7" t="inlineStr">
        <is>
          <t>yes</t>
        </is>
      </c>
      <c r="H124" s="7" t="n"/>
      <c r="I124" s="7" t="inlineStr">
        <is>
          <t>Structure for a reactor halfway along an AC route (e.g. Hornsea One). No public cost exists; test 12-80 MEUR.</t>
        </is>
      </c>
      <c r="J124" s="7" t="inlineStr">
        <is>
          <t>assumption: small AC offshore platform (NSCOGI 2011 300 MW AC platform about 32-48 MEUR in 2011, escalated)</t>
        </is>
      </c>
      <c r="K124"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5">
      <c r="A125" s="7" t="inlineStr">
        <is>
          <t>Export cable</t>
        </is>
      </c>
      <c r="B125" s="7" t="inlineStr">
        <is>
          <t>loss_value_eur_mwh</t>
        </is>
      </c>
      <c r="C125" s="7" t="inlineStr">
        <is>
          <t>Value of no-load cable losses</t>
        </is>
      </c>
      <c r="D125" s="7" t="inlineStr">
        <is>
          <t>EUR/MWh</t>
        </is>
      </c>
      <c r="E125" s="7" t="n">
        <v>50</v>
      </c>
      <c r="F125" s="7" t="n"/>
      <c r="G125" s="7" t="n"/>
      <c r="H125" s="7" t="n"/>
      <c r="I125" s="7" t="inlineStr">
        <is>
          <t>Charging-current and dielectric losses run all year whatever the load; they are costed at this price.</t>
        </is>
      </c>
      <c r="J125" s="7" t="inlineStr">
        <is>
          <t>40-50 EUR/MWh as in Van Eeckhout et al. 2010, Elliott et al. 2016, Xiang et al. 2021</t>
        </is>
      </c>
      <c r="K125"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6">
      <c r="A126" s="7" t="inlineStr">
        <is>
          <t>Export cable</t>
        </is>
      </c>
      <c r="B126" s="7" t="inlineStr">
        <is>
          <t>cable_max_circuits</t>
        </is>
      </c>
      <c r="C126" s="7" t="inlineStr">
        <is>
          <t>Largest number of circuits or converter units</t>
        </is>
      </c>
      <c r="D126" s="7" t="inlineStr">
        <is>
          <t>-</t>
        </is>
      </c>
      <c r="E126" s="7" t="n">
        <v>12</v>
      </c>
      <c r="F126" s="7" t="n"/>
      <c r="G126" s="7" t="n"/>
      <c r="H126" s="7" t="inlineStr">
        <is>
          <t>advanced</t>
        </is>
      </c>
      <c r="I126" s="7" t="n"/>
      <c r="J126" s="7" t="inlineStr">
        <is>
          <t>Model limit</t>
        </is>
      </c>
      <c r="K126"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7">
      <c r="A127" s="7" t="inlineStr">
        <is>
          <t>Export cable</t>
        </is>
      </c>
      <c r="B127" s="7" t="inlineStr">
        <is>
          <t>vh_np_eur_mw</t>
        </is>
      </c>
      <c r="C127" s="7" t="inlineStr">
        <is>
          <t>HVDC converter, per MW (each end)</t>
        </is>
      </c>
      <c r="D127" s="7" t="inlineStr">
        <is>
          <t>EUR/MW</t>
        </is>
      </c>
      <c r="E127" s="7" t="n">
        <v>112990</v>
      </c>
      <c r="F127" s="7" t="n"/>
      <c r="G127" s="7" t="n"/>
      <c r="H127" s="7" t="n"/>
      <c r="I127" s="7" t="n"/>
      <c r="J127" s="7" t="inlineStr">
        <is>
          <t>Vrana &amp; Hartel, EPSR 160 (2018), Table 6</t>
        </is>
      </c>
      <c r="K127"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8">
      <c r="A128" s="7" t="inlineStr">
        <is>
          <t>Export cable</t>
        </is>
      </c>
      <c r="B128" s="7" t="inlineStr">
        <is>
          <t>vh_n0_eur</t>
        </is>
      </c>
      <c r="C128" s="7" t="inlineStr">
        <is>
          <t>HVDC converter, fixed per unit (each end)</t>
        </is>
      </c>
      <c r="D128" s="7" t="inlineStr">
        <is>
          <t>EUR</t>
        </is>
      </c>
      <c r="E128" s="7" t="n">
        <v>23500000</v>
      </c>
      <c r="F128" s="7" t="n"/>
      <c r="G128" s="7" t="n"/>
      <c r="H128" s="7" t="n"/>
      <c r="I128" s="7" t="n"/>
      <c r="J128" s="7" t="inlineStr">
        <is>
          <t>Vrana &amp; Hartel 2018, Table 6</t>
        </is>
      </c>
      <c r="K128"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9">
      <c r="A129" s="7" t="inlineStr">
        <is>
          <t>Export cable</t>
        </is>
      </c>
      <c r="B129" s="7" t="inlineStr">
        <is>
          <t>vh_sp_eur_mw</t>
        </is>
      </c>
      <c r="C129" s="7" t="inlineStr">
        <is>
          <t>HVDC offshore station, per MW</t>
        </is>
      </c>
      <c r="D129" s="7" t="inlineStr">
        <is>
          <t>EUR/MW</t>
        </is>
      </c>
      <c r="E129" s="7" t="n">
        <v>723420</v>
      </c>
      <c r="F129" s="7" t="n"/>
      <c r="G129" s="7" t="n"/>
      <c r="H129" s="7" t="n"/>
      <c r="I129" s="7" t="n"/>
      <c r="J129" s="7" t="inlineStr">
        <is>
          <t>Vrana &amp; Hartel 2018, Table 6</t>
        </is>
      </c>
      <c r="K129"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0">
      <c r="A130" s="7" t="inlineStr">
        <is>
          <t>Export cable</t>
        </is>
      </c>
      <c r="B130" s="7" t="inlineStr">
        <is>
          <t>vh_s0_eur</t>
        </is>
      </c>
      <c r="C130" s="7" t="inlineStr">
        <is>
          <t>HVDC offshore station, fixed per unit</t>
        </is>
      </c>
      <c r="D130" s="7" t="inlineStr">
        <is>
          <t>EUR</t>
        </is>
      </c>
      <c r="E130" s="7" t="n">
        <v>57320000</v>
      </c>
      <c r="F130" s="7" t="n"/>
      <c r="G130" s="7" t="n"/>
      <c r="H130" s="7" t="n"/>
      <c r="I130" s="7" t="n"/>
      <c r="J130" s="7" t="inlineStr">
        <is>
          <t>Vrana &amp; Hartel 2018, Table 6</t>
        </is>
      </c>
      <c r="K130"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1">
      <c r="A131" s="7" t="inlineStr">
        <is>
          <t>Export cable</t>
        </is>
      </c>
      <c r="B131" s="7" t="inlineStr">
        <is>
          <t>vh_blp_eur_mw_km</t>
        </is>
      </c>
      <c r="C131" s="7" t="inlineStr">
        <is>
          <t>HVDC cable, per MW and km</t>
        </is>
      </c>
      <c r="D131" s="7" t="inlineStr">
        <is>
          <t>EUR/MW/km</t>
        </is>
      </c>
      <c r="E131" s="7" t="n">
        <v>980</v>
      </c>
      <c r="F131" s="7" t="n"/>
      <c r="G131" s="7" t="n"/>
      <c r="H131" s="7" t="n"/>
      <c r="I131" s="7" t="n"/>
      <c r="J131" s="7" t="inlineStr">
        <is>
          <t>Vrana &amp; Hartel 2018, Table 6</t>
        </is>
      </c>
      <c r="K131"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2">
      <c r="A132" s="7" t="inlineStr">
        <is>
          <t>Export cable</t>
        </is>
      </c>
      <c r="B132" s="7" t="inlineStr">
        <is>
          <t>vh_bl_eur_km</t>
        </is>
      </c>
      <c r="C132" s="7" t="inlineStr">
        <is>
          <t>HVDC cable, per km</t>
        </is>
      </c>
      <c r="D132" s="7" t="inlineStr">
        <is>
          <t>EUR/km</t>
        </is>
      </c>
      <c r="E132" s="7" t="n">
        <v>270000</v>
      </c>
      <c r="F132" s="7" t="n"/>
      <c r="G132" s="7" t="n"/>
      <c r="H132" s="7" t="n"/>
      <c r="I132" s="7" t="n"/>
      <c r="J132" s="7" t="inlineStr">
        <is>
          <t>Vrana &amp; Hartel 2018, Table 6</t>
        </is>
      </c>
      <c r="K132"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3">
      <c r="A133" s="7" t="inlineStr">
        <is>
          <t>Export cable</t>
        </is>
      </c>
      <c r="B133" s="7" t="inlineStr">
        <is>
          <t>vh_b0_eur</t>
        </is>
      </c>
      <c r="C133" s="7" t="inlineStr">
        <is>
          <t>HVDC cable, fixed per unit</t>
        </is>
      </c>
      <c r="D133" s="7" t="inlineStr">
        <is>
          <t>EUR</t>
        </is>
      </c>
      <c r="E133" s="7" t="n">
        <v>3630000</v>
      </c>
      <c r="F133" s="7" t="n"/>
      <c r="G133" s="7" t="n"/>
      <c r="H133" s="7" t="n"/>
      <c r="I133" s="7" t="n"/>
      <c r="J133" s="7" t="inlineStr">
        <is>
          <t>Vrana &amp; Hartel 2018, Table 6</t>
        </is>
      </c>
      <c r="K133"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4">
      <c r="A134" s="7" t="inlineStr">
        <is>
          <t>Export cable</t>
        </is>
      </c>
      <c r="B134" s="7" t="inlineStr">
        <is>
          <t>hvdc_unit_mw</t>
        </is>
      </c>
      <c r="C134" s="7" t="inlineStr">
        <is>
          <t>Largest HVDC unit</t>
        </is>
      </c>
      <c r="D134" s="7" t="inlineStr">
        <is>
          <t>MW</t>
        </is>
      </c>
      <c r="E134" s="7" t="n">
        <v>2000</v>
      </c>
      <c r="F134" s="7" t="n"/>
      <c r="G134" s="7" t="n"/>
      <c r="H134" s="7" t="inlineStr">
        <is>
          <t>advanced</t>
        </is>
      </c>
      <c r="I134" s="7" t="n"/>
      <c r="J134" s="7" t="inlineStr">
        <is>
          <t>Vrana &amp; Hartel 2018 (2 GW); TenneT 2 GW standard</t>
        </is>
      </c>
      <c r="K134"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5">
      <c r="A135" s="7" t="inlineStr">
        <is>
          <t>Export cable</t>
        </is>
      </c>
      <c r="B135" s="7" t="inlineStr">
        <is>
          <t>hvdc_cost_factor</t>
        </is>
      </c>
      <c r="C135" s="7" t="inlineStr">
        <is>
          <t>HVDC cost escalation factor</t>
        </is>
      </c>
      <c r="D135" s="7" t="inlineStr">
        <is>
          <t>x</t>
        </is>
      </c>
      <c r="E135" s="7" t="n">
        <v>1</v>
      </c>
      <c r="F135" s="7" t="n"/>
      <c r="G135" s="7" t="n"/>
      <c r="H135" s="7" t="n"/>
      <c r="I135" s="7" t="inlineStr">
        <is>
          <t>Multiplies all HVDC costs. At 1.0 the converter stations and platform of a 2 GW link cost EUR 2.0 bn, within about 6 % of TenneT's 2 GW programme (about EUR 2.1 bn per system) and at the upper end of ENTSO-E ONDP 2024 converter costs.</t>
        </is>
      </c>
      <c r="J135" s="7" t="inlineStr">
        <is>
          <t>checked against TenneT 2023 and ENTSO-E ONDP 2024</t>
        </is>
      </c>
      <c r="K135"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6">
      <c r="A136" s="7" t="inlineStr">
        <is>
          <t>Export cable</t>
        </is>
      </c>
      <c r="B136" s="7" t="inlineStr">
        <is>
          <t>hvdc_converter_loss</t>
        </is>
      </c>
      <c r="C136" s="7" t="inlineStr">
        <is>
          <t>HVDC converter losses (both stations)</t>
        </is>
      </c>
      <c r="D136" s="7" t="inlineStr">
        <is>
          <t>fraction</t>
        </is>
      </c>
      <c r="E136" s="7" t="n">
        <v>0.02</v>
      </c>
      <c r="F136" s="7" t="n"/>
      <c r="G136" s="7" t="n"/>
      <c r="H136" s="7" t="n"/>
      <c r="I136" s="7" t="n"/>
      <c r="J136" s="7" t="inlineStr">
        <is>
          <t>1 % per station: PyPSA technology data; EVOLVE v9</t>
        </is>
      </c>
      <c r="K136"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7">
      <c r="A137" s="7" t="inlineStr">
        <is>
          <t>Export cable</t>
        </is>
      </c>
      <c r="B137" s="7" t="inlineStr">
        <is>
          <t>hvdc_cable_loss_per_100km</t>
        </is>
      </c>
      <c r="C137" s="7" t="inlineStr">
        <is>
          <t>HVDC cable loss per 100 km at full load</t>
        </is>
      </c>
      <c r="D137" s="7" t="inlineStr">
        <is>
          <t>fraction</t>
        </is>
      </c>
      <c r="E137" s="7" t="n">
        <v>0.0045</v>
      </c>
      <c r="F137" s="7" t="n"/>
      <c r="G137" s="7" t="n"/>
      <c r="H137" s="7" t="inlineStr">
        <is>
          <t>advanced</t>
        </is>
      </c>
      <c r="I137" s="7" t="n"/>
      <c r="J137" s="7" t="inlineStr">
        <is>
          <t>2 I^2 R at rated current, ORBIT 320 kV/2000 mm2 (0.61 %) and 525 kV/2500 mm2 (0.30 %) at 70 C; mid value</t>
        </is>
      </c>
      <c r="K137"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8">
      <c r="A138" s="7" t="inlineStr">
        <is>
          <t>Export cable</t>
        </is>
      </c>
      <c r="B138" s="7" t="inlineStr">
        <is>
          <t>hvdc_float_premium</t>
        </is>
      </c>
      <c r="C138" s="7" t="inlineStr">
        <is>
          <t>Floating offshore-station premium (floating island)</t>
        </is>
      </c>
      <c r="D138" s="7" t="inlineStr">
        <is>
          <t>x</t>
        </is>
      </c>
      <c r="E138" s="7" t="n">
        <v>1.5</v>
      </c>
      <c r="F138" s="7" t="n"/>
      <c r="G138" s="7" t="inlineStr">
        <is>
          <t>yes</t>
        </is>
      </c>
      <c r="H138" s="7" t="n"/>
      <c r="I138" s="7" t="inlineStr">
        <is>
          <t>Multiplies the HVDC offshore-station cost when the island floats and makes its own power (concept B).</t>
        </is>
      </c>
      <c r="J138" s="7" t="inlineStr">
        <is>
          <t>EVOLVE v9 model (OffShore-Onshore_Setting.py)</t>
        </is>
      </c>
      <c r="K138"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9">
      <c r="A139" s="7" t="inlineStr">
        <is>
          <t>Export cable</t>
        </is>
      </c>
      <c r="B139" s="7" t="inlineStr">
        <is>
          <t>tso_fee_eur_mw_yr</t>
        </is>
      </c>
      <c r="C139" s="7" t="inlineStr">
        <is>
          <t>TSO grid fee (per MW injected into the grid)</t>
        </is>
      </c>
      <c r="D139" s="7" t="inlineStr">
        <is>
          <t>EUR/MW/yr</t>
        </is>
      </c>
      <c r="E139" s="7" t="n">
        <v>42000</v>
      </c>
      <c r="F139" s="7" t="n"/>
      <c r="G139" s="7" t="inlineStr">
        <is>
          <t>yes</t>
        </is>
      </c>
      <c r="H139" s="7" t="n"/>
      <c r="I139" s="7" t="inlineStr">
        <is>
          <t>Annual charge per MW of capacity injected into the existing grid (the largest hourly injection), paid only when the island connects to the grid with its own cable. Power used onshore by the electrolysers without entering the grid pays no fee. With a hub, the hub access fee replaces it.</t>
        </is>
      </c>
      <c r="J139" s="7" t="inlineStr">
        <is>
          <t>EVOLVE v9 model (OffShore-Onshore_Setting.py)</t>
        </is>
      </c>
      <c r="K139"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0">
      <c r="A140" s="7" t="inlineStr">
        <is>
          <t>Export cable</t>
        </is>
      </c>
      <c r="B140" s="7" t="inlineStr">
        <is>
          <t>cable_fom_hvac</t>
        </is>
      </c>
      <c r="C140" s="7" t="inlineStr">
        <is>
          <t>Fixed O&amp;M, HVAC link</t>
        </is>
      </c>
      <c r="D140" s="7" t="inlineStr">
        <is>
          <t>fraction/yr</t>
        </is>
      </c>
      <c r="E140" s="7" t="n">
        <v>0.005</v>
      </c>
      <c r="F140" s="7" t="n"/>
      <c r="G140" s="7" t="n"/>
      <c r="H140" s="7" t="n"/>
      <c r="I140" s="7" t="n"/>
      <c r="J140" s="7" t="inlineStr">
        <is>
          <t>EVOLVE v9 model (OffShore-Onshore_Setting.py)</t>
        </is>
      </c>
      <c r="K140"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1">
      <c r="A141" s="7" t="inlineStr">
        <is>
          <t>Export cable</t>
        </is>
      </c>
      <c r="B141" s="7" t="inlineStr">
        <is>
          <t>cable_fom_hvdc</t>
        </is>
      </c>
      <c r="C141" s="7" t="inlineStr">
        <is>
          <t>Fixed O&amp;M, HVDC link</t>
        </is>
      </c>
      <c r="D141" s="7" t="inlineStr">
        <is>
          <t>fraction/yr</t>
        </is>
      </c>
      <c r="E141" s="7" t="n">
        <v>0.01</v>
      </c>
      <c r="F141" s="7" t="n"/>
      <c r="G141" s="7" t="n"/>
      <c r="H141" s="7" t="n"/>
      <c r="I141" s="7" t="n"/>
      <c r="J141" s="7" t="inlineStr">
        <is>
          <t>EVOLVE v9 model (OffShore-Onshore_Setting.py)</t>
        </is>
      </c>
      <c r="K141"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2">
      <c r="A142" s="7" t="inlineStr">
        <is>
          <t>Export cable</t>
        </is>
      </c>
      <c r="B142" s="7" t="inlineStr">
        <is>
          <t>hvac_hvdc_threshold_km</t>
        </is>
      </c>
      <c r="C142" s="7" t="inlineStr">
        <is>
          <t>v9 linear model: HVAC up to</t>
        </is>
      </c>
      <c r="D142" s="7" t="inlineStr">
        <is>
          <t>km</t>
        </is>
      </c>
      <c r="E142" s="7" t="n">
        <v>60</v>
      </c>
      <c r="F142" s="7" t="n"/>
      <c r="G142" s="7" t="n"/>
      <c r="H142" s="7" t="inlineStr">
        <is>
          <t>advanced</t>
        </is>
      </c>
      <c r="I142" s="7" t="n"/>
      <c r="J142" s="7" t="inlineStr">
        <is>
          <t>EVOLVE v9 model (OffShore-Onshore_Setting.py)</t>
        </is>
      </c>
      <c r="K142"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3">
      <c r="A143" s="7" t="inlineStr">
        <is>
          <t>Export cable</t>
        </is>
      </c>
      <c r="B143" s="7" t="inlineStr">
        <is>
          <t>hvac_var_eur_mw_km</t>
        </is>
      </c>
      <c r="C143" s="7" t="inlineStr">
        <is>
          <t>v9 linear model: HVAC cost per MW per km</t>
        </is>
      </c>
      <c r="D143" s="7" t="inlineStr">
        <is>
          <t>EUR/MW/km</t>
        </is>
      </c>
      <c r="E143" s="7" t="n">
        <v>1360</v>
      </c>
      <c r="F143" s="7" t="n"/>
      <c r="G143" s="7" t="n"/>
      <c r="H143" s="7" t="inlineStr">
        <is>
          <t>advanced</t>
        </is>
      </c>
      <c r="I143" s="7" t="n"/>
      <c r="J143" s="7" t="inlineStr">
        <is>
          <t>EVOLVE v9 model (OffShore-Onshore_Setting.py)</t>
        </is>
      </c>
      <c r="K143"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4">
      <c r="A144" s="7" t="inlineStr">
        <is>
          <t>Export cable</t>
        </is>
      </c>
      <c r="B144" s="7" t="inlineStr">
        <is>
          <t>hvac_fix_eur_km</t>
        </is>
      </c>
      <c r="C144" s="7" t="inlineStr">
        <is>
          <t>v9 linear model: HVAC fixed cost per km</t>
        </is>
      </c>
      <c r="D144" s="7" t="inlineStr">
        <is>
          <t>EUR/km</t>
        </is>
      </c>
      <c r="E144" s="7" t="n">
        <v>206130</v>
      </c>
      <c r="F144" s="7" t="n"/>
      <c r="G144" s="7" t="n"/>
      <c r="H144" s="7" t="inlineStr">
        <is>
          <t>advanced</t>
        </is>
      </c>
      <c r="I144" s="7" t="n"/>
      <c r="J144" s="7" t="inlineStr">
        <is>
          <t>EVOLVE v9 model (OffShore-Onshore_Setting.py)</t>
        </is>
      </c>
      <c r="K144"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5">
      <c r="A145" s="7" t="inlineStr">
        <is>
          <t>Export cable</t>
        </is>
      </c>
      <c r="B145" s="7" t="inlineStr">
        <is>
          <t>hvac_loss_per_km</t>
        </is>
      </c>
      <c r="C145" s="7" t="inlineStr">
        <is>
          <t>v9 linear model: HVAC loss per km</t>
        </is>
      </c>
      <c r="D145" s="7" t="inlineStr">
        <is>
          <t>fraction/km</t>
        </is>
      </c>
      <c r="E145" s="7" t="n">
        <v>6.7e-05</v>
      </c>
      <c r="F145" s="7" t="n"/>
      <c r="G145" s="7" t="n"/>
      <c r="H145" s="7" t="inlineStr">
        <is>
          <t>advanced</t>
        </is>
      </c>
      <c r="I145" s="7" t="n"/>
      <c r="J145" s="7" t="inlineStr">
        <is>
          <t>EVOLVE v9 model (OffShore-Onshore_Setting.py)</t>
        </is>
      </c>
      <c r="K145"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6">
      <c r="A146" s="7" t="inlineStr">
        <is>
          <t>Export cable</t>
        </is>
      </c>
      <c r="B146" s="7" t="inlineStr">
        <is>
          <t>hvdc_cable_eur_mw_km</t>
        </is>
      </c>
      <c r="C146" s="7" t="inlineStr">
        <is>
          <t>v9 linear model: HVDC cable per MW per km</t>
        </is>
      </c>
      <c r="D146" s="7" t="inlineStr">
        <is>
          <t>EUR/MW/km</t>
        </is>
      </c>
      <c r="E146" s="7" t="n">
        <v>1000</v>
      </c>
      <c r="F146" s="7" t="n"/>
      <c r="G146" s="7" t="n"/>
      <c r="H146" s="7" t="inlineStr">
        <is>
          <t>advanced</t>
        </is>
      </c>
      <c r="I146" s="7" t="n"/>
      <c r="J146" s="7" t="inlineStr">
        <is>
          <t>EVOLVE v9 model (OffShore-Onshore_Setting.py)</t>
        </is>
      </c>
      <c r="K146"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7">
      <c r="A147" s="7" t="inlineStr">
        <is>
          <t>Export cable</t>
        </is>
      </c>
      <c r="B147" s="7" t="inlineStr">
        <is>
          <t>hvdc_cable_loss_per_km</t>
        </is>
      </c>
      <c r="C147" s="7" t="inlineStr">
        <is>
          <t>v9 linear model: HVDC cable loss per km</t>
        </is>
      </c>
      <c r="D147" s="7" t="inlineStr">
        <is>
          <t>fraction/km</t>
        </is>
      </c>
      <c r="E147" s="7" t="n">
        <v>3.5e-05</v>
      </c>
      <c r="F147" s="7" t="n"/>
      <c r="G147" s="7" t="n"/>
      <c r="H147" s="7" t="inlineStr">
        <is>
          <t>advanced</t>
        </is>
      </c>
      <c r="I147" s="7" t="n"/>
      <c r="J147" s="7" t="inlineStr">
        <is>
          <t>EVOLVE v9 model (OffShore-Onshore_Setting.py)</t>
        </is>
      </c>
      <c r="K147"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8">
      <c r="A148" s="7" t="inlineStr">
        <is>
          <t>Export cable</t>
        </is>
      </c>
      <c r="B148" s="7" t="inlineStr">
        <is>
          <t>v9_converter_pair_eur_mw</t>
        </is>
      </c>
      <c r="C148" s="7" t="inlineStr">
        <is>
          <t>v9 linear model: HVDC converter pair</t>
        </is>
      </c>
      <c r="D148" s="7" t="inlineStr">
        <is>
          <t>EUR/MW</t>
        </is>
      </c>
      <c r="E148" s="7" t="n">
        <v>300000</v>
      </c>
      <c r="F148" s="7" t="n"/>
      <c r="G148" s="7" t="n"/>
      <c r="H148" s="7" t="inlineStr">
        <is>
          <t>advanced</t>
        </is>
      </c>
      <c r="I148" s="7" t="n"/>
      <c r="J148" s="7" t="inlineStr">
        <is>
          <t>EVOLVE v9 model (OffShore-Onshore_Setting.py)</t>
        </is>
      </c>
      <c r="K148"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9">
      <c r="A149" s="7" t="inlineStr">
        <is>
          <t>Export cable</t>
        </is>
      </c>
      <c r="B149" s="7" t="inlineStr">
        <is>
          <t>tso_fee_hvdc_eur_mw_yr</t>
        </is>
      </c>
      <c r="C149" s="7" t="inlineStr">
        <is>
          <t>v9 linear model: TSO grid fee, HVDC</t>
        </is>
      </c>
      <c r="D149" s="7" t="inlineStr">
        <is>
          <t>EUR/MW/yr</t>
        </is>
      </c>
      <c r="E149" s="7" t="n">
        <v>0</v>
      </c>
      <c r="F149" s="7" t="n"/>
      <c r="G149" s="7" t="n"/>
      <c r="H149" s="7" t="inlineStr">
        <is>
          <t>advanced</t>
        </is>
      </c>
      <c r="I149" s="7" t="n"/>
      <c r="J149" s="7" t="inlineStr">
        <is>
          <t>EVOLVE v9 model (OffShore-Onshore_Setting.py)</t>
        </is>
      </c>
      <c r="K149"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50">
      <c r="A150" s="7" t="inlineStr">
        <is>
          <t>Export cable</t>
        </is>
      </c>
      <c r="B150" s="7" t="inlineStr">
        <is>
          <t>cable_life</t>
        </is>
      </c>
      <c r="C150" s="7" t="inlineStr">
        <is>
          <t>Lifetime</t>
        </is>
      </c>
      <c r="D150" s="7" t="inlineStr">
        <is>
          <t>yr</t>
        </is>
      </c>
      <c r="E150" s="7" t="n">
        <v>30</v>
      </c>
      <c r="F150" s="7" t="n"/>
      <c r="G150" s="7" t="n"/>
      <c r="H150" s="7" t="n"/>
      <c r="I150" s="7" t="n"/>
      <c r="J150" s="7" t="inlineStr">
        <is>
          <t>EVOLVE v9 model (OffShore-Onshore_Setting.py)</t>
        </is>
      </c>
      <c r="K150"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51">
      <c r="A151" s="7" t="inlineStr">
        <is>
          <t>Hydrogen pipeline</t>
        </is>
      </c>
      <c r="B151" s="7" t="inlineStr">
        <is>
          <t>pipe_cost_fixed_eur_km</t>
        </is>
      </c>
      <c r="C151" s="7" t="inlineStr">
        <is>
          <t>New pipeline cost, fixed part</t>
        </is>
      </c>
      <c r="D151" s="7" t="inlineStr">
        <is>
          <t>EUR/km</t>
        </is>
      </c>
      <c r="E151" s="7" t="n">
        <v>1550000</v>
      </c>
      <c r="F151" s="7" t="n"/>
      <c r="G151" s="7" t="n"/>
      <c r="H151" s="7" t="n"/>
      <c r="I151" s="7" t="inlineStr">
        <is>
          <t>Cost per km of a new pipeline = fixed part + part per inch of diameter.</t>
        </is>
      </c>
      <c r="J151" s="7" t="inlineStr">
        <is>
          <t>Line through ACER 2026 UIC medians of H2-ready gas pipelines: 2.08 MEUR/km at 12-16 in, 3.14 at 36-48 in</t>
        </is>
      </c>
      <c r="K151" s="7" t="inlineStr">
        <is>
          <t>European Hydrogen Backbone cost reports; ACER unit investment cost indicators.</t>
        </is>
      </c>
    </row>
    <row r="152">
      <c r="A152" s="7" t="inlineStr">
        <is>
          <t>Hydrogen pipeline</t>
        </is>
      </c>
      <c r="B152" s="7" t="inlineStr">
        <is>
          <t>pipe_cost_per_inch_eur_km</t>
        </is>
      </c>
      <c r="C152" s="7" t="inlineStr">
        <is>
          <t>New pipeline cost, per inch of diameter</t>
        </is>
      </c>
      <c r="D152" s="7" t="inlineStr">
        <is>
          <t>EUR/km/inch</t>
        </is>
      </c>
      <c r="E152" s="7" t="n">
        <v>37857</v>
      </c>
      <c r="F152" s="7" t="n"/>
      <c r="G152" s="7" t="n"/>
      <c r="H152" s="7" t="n"/>
      <c r="I152" s="7" t="n"/>
      <c r="J152" s="7" t="inlineStr">
        <is>
          <t>Same ACER 2026 line (slope)</t>
        </is>
      </c>
      <c r="K152" s="7" t="inlineStr">
        <is>
          <t>European Hydrogen Backbone cost reports; ACER unit investment cost indicators.</t>
        </is>
      </c>
    </row>
    <row r="153">
      <c r="A153" s="7" t="inlineStr">
        <is>
          <t>Hydrogen pipeline</t>
        </is>
      </c>
      <c r="B153" s="7" t="inlineStr">
        <is>
          <t>pipe_repurposed_capex_eur_km</t>
        </is>
      </c>
      <c r="C153" s="7" t="inlineStr">
        <is>
          <t>Repurposed 36-inch: cost</t>
        </is>
      </c>
      <c r="D153" s="7" t="inlineStr">
        <is>
          <t>EUR/km</t>
        </is>
      </c>
      <c r="E153" s="7" t="n">
        <v>1180000</v>
      </c>
      <c r="F153" s="7" t="n"/>
      <c r="G153" s="7" t="n"/>
      <c r="H153" s="7" t="n"/>
      <c r="I153" s="7" t="n"/>
      <c r="J153" s="7" t="inlineStr">
        <is>
          <t>ACER 2026 UIC median, hydrogen pipelines (all repurposed), 1.18 MEUR/km</t>
        </is>
      </c>
      <c r="K153" s="7" t="inlineStr">
        <is>
          <t>European Hydrogen Backbone cost reports; ACER unit investment cost indicators.</t>
        </is>
      </c>
    </row>
    <row r="154">
      <c r="A154" s="7" t="inlineStr">
        <is>
          <t>Hydrogen pipeline</t>
        </is>
      </c>
      <c r="B154" s="7" t="inlineStr">
        <is>
          <t>pipe_offshore_factor</t>
        </is>
      </c>
      <c r="C154" s="7" t="inlineStr">
        <is>
          <t>Subsea cost factor</t>
        </is>
      </c>
      <c r="D154" s="7" t="inlineStr">
        <is>
          <t>x</t>
        </is>
      </c>
      <c r="E154" s="7" t="n">
        <v>1.7</v>
      </c>
      <c r="F154" s="7" t="n"/>
      <c r="G154" s="7" t="n"/>
      <c r="H154" s="7" t="n"/>
      <c r="I154" s="7" t="inlineStr">
        <is>
          <t>Multiplies new and repurposed pipeline costs for the subsea route. ACER's indicators do not separate subsea from onshore pipelines; the European Hydrogen Backbone prices offshore pipelines at 1.7 times onshore.</t>
        </is>
      </c>
      <c r="J154" s="7" t="inlineStr">
        <is>
          <t>European Hydrogen Backbone 2022 (offshore = 1.7 x onshore)</t>
        </is>
      </c>
      <c r="K154" s="7" t="inlineStr">
        <is>
          <t>European Hydrogen Backbone cost reports; ACER unit investment cost indicators.</t>
        </is>
      </c>
    </row>
    <row r="155">
      <c r="A155" s="7" t="inlineStr">
        <is>
          <t>Hydrogen pipeline</t>
        </is>
      </c>
      <c r="B155" s="7" t="inlineStr">
        <is>
          <t>pipe_p_out_bar</t>
        </is>
      </c>
      <c r="C155" s="7" t="inlineStr">
        <is>
          <t>Delivery pressure at the end of the pipeline</t>
        </is>
      </c>
      <c r="D155" s="7" t="inlineStr">
        <is>
          <t>bar</t>
        </is>
      </c>
      <c r="E155" s="7" t="n">
        <v>30</v>
      </c>
      <c r="F155" s="7" t="n"/>
      <c r="G155" s="7" t="n"/>
      <c r="H155" s="7" t="n"/>
      <c r="I155" s="7" t="inlineStr">
        <is>
          <t>Lowest pressure in the pipeline; the gas velocity limit is checked here.</t>
        </is>
      </c>
      <c r="J155" s="7" t="inlineStr">
        <is>
          <t>assumption</t>
        </is>
      </c>
      <c r="K155" s="7" t="inlineStr">
        <is>
          <t>European Hydrogen Backbone cost reports; ACER unit investment cost indicators.</t>
        </is>
      </c>
    </row>
    <row r="156">
      <c r="A156" s="7" t="inlineStr">
        <is>
          <t>Hydrogen pipeline</t>
        </is>
      </c>
      <c r="B156" s="7" t="inlineStr">
        <is>
          <t>tiein_dp_bar</t>
        </is>
      </c>
      <c r="C156" s="7" t="inlineStr">
        <is>
          <t>Pressure drop allowed in a tie-in spur</t>
        </is>
      </c>
      <c r="D156" s="7" t="inlineStr">
        <is>
          <t>bar</t>
        </is>
      </c>
      <c r="E156" s="7" t="n">
        <v>5</v>
      </c>
      <c r="F156" s="7" t="n"/>
      <c r="G156" s="7" t="n"/>
      <c r="H156" s="7" t="inlineStr">
        <is>
          <t>advanced</t>
        </is>
      </c>
      <c r="I156" s="7" t="inlineStr">
        <is>
          <t>With a tie-in, compressors deliver the tie-in pressure plus this margin.</t>
        </is>
      </c>
      <c r="J156" s="7" t="inlineStr">
        <is>
          <t>Assumption: margin above the host pipeline pressure</t>
        </is>
      </c>
      <c r="K156" s="7" t="inlineStr">
        <is>
          <t>European Hydrogen Backbone cost reports; ACER unit investment cost indicators.</t>
        </is>
      </c>
    </row>
    <row r="157">
      <c r="A157" s="7" t="inlineStr">
        <is>
          <t>Hydrogen pipeline</t>
        </is>
      </c>
      <c r="B157" s="7" t="inlineStr">
        <is>
          <t>pipe_max_velocity_ms</t>
        </is>
      </c>
      <c r="C157" s="7" t="inlineStr">
        <is>
          <t>Design gas velocity</t>
        </is>
      </c>
      <c r="D157" s="7" t="inlineStr">
        <is>
          <t>m/s</t>
        </is>
      </c>
      <c r="E157" s="7" t="n">
        <v>20</v>
      </c>
      <c r="F157" s="7" t="n"/>
      <c r="G157" s="7" t="n"/>
      <c r="H157" s="7" t="n"/>
      <c r="I157" s="7" t="inlineStr">
        <is>
          <t>Largest gas velocity at the pipeline outlet. The erosional limit below is also respected.</t>
        </is>
      </c>
      <c r="J157" s="7" t="inlineStr">
        <is>
          <t>Danish Energy Agency, Technology Brief on hydrogen transport (2025): capacities at 20 m/s</t>
        </is>
      </c>
      <c r="K157" s="7" t="inlineStr">
        <is>
          <t>European Hydrogen Backbone cost reports; ACER unit investment cost indicators.</t>
        </is>
      </c>
    </row>
    <row r="158">
      <c r="A158" s="7" t="inlineStr">
        <is>
          <t>Hydrogen pipeline</t>
        </is>
      </c>
      <c r="B158" s="7" t="inlineStr">
        <is>
          <t>pipe_velocity_fraction</t>
        </is>
      </c>
      <c r="C158" s="7" t="inlineStr">
        <is>
          <t>Gas velocity limit, share of erosional velocity</t>
        </is>
      </c>
      <c r="D158" s="7" t="inlineStr">
        <is>
          <t>fraction</t>
        </is>
      </c>
      <c r="E158" s="7" t="n">
        <v>0.5</v>
      </c>
      <c r="F158" s="7" t="n"/>
      <c r="G158" s="7" t="n"/>
      <c r="H158" s="7" t="inlineStr">
        <is>
          <t>advanced</t>
        </is>
      </c>
      <c r="I158" s="7" t="n"/>
      <c r="J158" s="7" t="inlineStr">
        <is>
          <t>Menon (2011), as used by Singlitico et al. (2021)</t>
        </is>
      </c>
      <c r="K158" s="7" t="inlineStr">
        <is>
          <t>European Hydrogen Backbone cost reports; ACER unit investment cost indicators.</t>
        </is>
      </c>
    </row>
    <row r="159">
      <c r="A159" s="7" t="inlineStr">
        <is>
          <t>Hydrogen pipeline</t>
        </is>
      </c>
      <c r="B159" s="7" t="inlineStr">
        <is>
          <t>pipe_erosional_c</t>
        </is>
      </c>
      <c r="C159" s="7" t="inlineStr">
        <is>
          <t>Erosional velocity constant (SI)</t>
        </is>
      </c>
      <c r="D159" s="7" t="inlineStr">
        <is>
          <t>(kg/m3)^0.5 m/s</t>
        </is>
      </c>
      <c r="E159" s="7" t="n">
        <v>122</v>
      </c>
      <c r="F159" s="7" t="n"/>
      <c r="G159" s="7" t="n"/>
      <c r="H159" s="7" t="inlineStr">
        <is>
          <t>advanced</t>
        </is>
      </c>
      <c r="I159" s="7" t="n"/>
      <c r="J159" s="7" t="inlineStr">
        <is>
          <t>API RP 14E, c = 100 in US units</t>
        </is>
      </c>
      <c r="K159" s="7" t="inlineStr">
        <is>
          <t>European Hydrogen Backbone cost reports; ACER unit investment cost indicators.</t>
        </is>
      </c>
    </row>
    <row r="160">
      <c r="A160" s="7" t="inlineStr">
        <is>
          <t>Hydrogen pipeline</t>
        </is>
      </c>
      <c r="B160" s="7" t="inlineStr">
        <is>
          <t>pipe_roughness_mm</t>
        </is>
      </c>
      <c r="C160" s="7" t="inlineStr">
        <is>
          <t>Wall roughness</t>
        </is>
      </c>
      <c r="D160" s="7" t="inlineStr">
        <is>
          <t>mm</t>
        </is>
      </c>
      <c r="E160" s="7" t="n">
        <v>0.05</v>
      </c>
      <c r="F160" s="7" t="n"/>
      <c r="G160" s="7" t="n"/>
      <c r="H160" s="7" t="inlineStr">
        <is>
          <t>advanced</t>
        </is>
      </c>
      <c r="I160" s="7" t="n"/>
      <c r="J160" s="7" t="inlineStr">
        <is>
          <t>Singlitico et al. (2021)</t>
        </is>
      </c>
      <c r="K160" s="7" t="inlineStr">
        <is>
          <t>European Hydrogen Backbone cost reports; ACER unit investment cost indicators.</t>
        </is>
      </c>
    </row>
    <row r="161">
      <c r="A161" s="7" t="inlineStr">
        <is>
          <t>Hydrogen pipeline</t>
        </is>
      </c>
      <c r="B161" s="7" t="inlineStr">
        <is>
          <t>pipe_gas_temp_k</t>
        </is>
      </c>
      <c r="C161" s="7" t="inlineStr">
        <is>
          <t>Gas temperature in the pipeline</t>
        </is>
      </c>
      <c r="D161" s="7" t="inlineStr">
        <is>
          <t>K</t>
        </is>
      </c>
      <c r="E161" s="7" t="n">
        <v>288</v>
      </c>
      <c r="F161" s="7" t="n"/>
      <c r="G161" s="7" t="n"/>
      <c r="H161" s="7" t="inlineStr">
        <is>
          <t>advanced</t>
        </is>
      </c>
      <c r="I161" s="7" t="n"/>
      <c r="J161" s="7" t="inlineStr">
        <is>
          <t>Assumption: seabed gas temperature</t>
        </is>
      </c>
      <c r="K161" s="7" t="inlineStr">
        <is>
          <t>European Hydrogen Backbone cost reports; ACER unit investment cost indicators.</t>
        </is>
      </c>
    </row>
    <row r="162">
      <c r="A162" s="7" t="inlineStr">
        <is>
          <t>Hydrogen pipeline</t>
        </is>
      </c>
      <c r="B162" s="7" t="inlineStr">
        <is>
          <t>pipe_id_4in</t>
        </is>
      </c>
      <c r="C162" s="7" t="inlineStr">
        <is>
          <t>4-inch: inner diameter</t>
        </is>
      </c>
      <c r="D162" s="7" t="inlineStr">
        <is>
          <t>m</t>
        </is>
      </c>
      <c r="E162" s="7" t="n">
        <v>0.1023</v>
      </c>
      <c r="F162" s="7" t="n"/>
      <c r="G162" s="7" t="n"/>
      <c r="H162" s="7" t="inlineStr">
        <is>
          <t>advanced</t>
        </is>
      </c>
      <c r="I162" s="7" t="n"/>
      <c r="J162" s="7" t="inlineStr">
        <is>
          <t>ASME B36.10 outside diameter minus a typical wall</t>
        </is>
      </c>
      <c r="K162" s="7" t="inlineStr">
        <is>
          <t>European Hydrogen Backbone cost reports; ACER unit investment cost indicators.</t>
        </is>
      </c>
    </row>
    <row r="163">
      <c r="A163" s="7" t="inlineStr">
        <is>
          <t>Hydrogen pipeline</t>
        </is>
      </c>
      <c r="B163" s="7" t="inlineStr">
        <is>
          <t>pipe_id_6in</t>
        </is>
      </c>
      <c r="C163" s="7" t="inlineStr">
        <is>
          <t>6-inch: inner diameter</t>
        </is>
      </c>
      <c r="D163" s="7" t="inlineStr">
        <is>
          <t>m</t>
        </is>
      </c>
      <c r="E163" s="7" t="n">
        <v>0.1541</v>
      </c>
      <c r="F163" s="7" t="n"/>
      <c r="G163" s="7" t="n"/>
      <c r="H163" s="7" t="inlineStr">
        <is>
          <t>advanced</t>
        </is>
      </c>
      <c r="I163" s="7" t="n"/>
      <c r="J163" s="7" t="inlineStr">
        <is>
          <t>ASME B36.10 outside diameter minus a typical wall</t>
        </is>
      </c>
      <c r="K163" s="7" t="inlineStr">
        <is>
          <t>European Hydrogen Backbone cost reports; ACER unit investment cost indicators.</t>
        </is>
      </c>
    </row>
    <row r="164">
      <c r="A164" s="7" t="inlineStr">
        <is>
          <t>Hydrogen pipeline</t>
        </is>
      </c>
      <c r="B164" s="7" t="inlineStr">
        <is>
          <t>pipe_id_8in</t>
        </is>
      </c>
      <c r="C164" s="7" t="inlineStr">
        <is>
          <t>8-inch: inner diameter</t>
        </is>
      </c>
      <c r="D164" s="7" t="inlineStr">
        <is>
          <t>m</t>
        </is>
      </c>
      <c r="E164" s="7" t="n">
        <v>0.2027</v>
      </c>
      <c r="F164" s="7" t="n"/>
      <c r="G164" s="7" t="n"/>
      <c r="H164" s="7" t="inlineStr">
        <is>
          <t>advanced</t>
        </is>
      </c>
      <c r="I164" s="7" t="n"/>
      <c r="J164" s="7" t="inlineStr">
        <is>
          <t>ASME B36.10 outside diameter minus a typical wall</t>
        </is>
      </c>
      <c r="K164" s="7" t="inlineStr">
        <is>
          <t>European Hydrogen Backbone cost reports; ACER unit investment cost indicators.</t>
        </is>
      </c>
    </row>
    <row r="165">
      <c r="A165" s="7" t="inlineStr">
        <is>
          <t>Hydrogen pipeline</t>
        </is>
      </c>
      <c r="B165" s="7" t="inlineStr">
        <is>
          <t>pipe_id_12in</t>
        </is>
      </c>
      <c r="C165" s="7" t="inlineStr">
        <is>
          <t>12-inch: inner diameter</t>
        </is>
      </c>
      <c r="D165" s="7" t="inlineStr">
        <is>
          <t>m</t>
        </is>
      </c>
      <c r="E165" s="7" t="n">
        <v>0.3049</v>
      </c>
      <c r="F165" s="7" t="n"/>
      <c r="G165" s="7" t="n"/>
      <c r="H165" s="7" t="inlineStr">
        <is>
          <t>advanced</t>
        </is>
      </c>
      <c r="I165" s="7" t="n"/>
      <c r="J165" s="7" t="inlineStr">
        <is>
          <t>ASME B36.10 outside diameter minus a typical wall</t>
        </is>
      </c>
      <c r="K165" s="7" t="inlineStr">
        <is>
          <t>European Hydrogen Backbone cost reports; ACER unit investment cost indicators.</t>
        </is>
      </c>
    </row>
    <row r="166">
      <c r="A166" s="7" t="inlineStr">
        <is>
          <t>Hydrogen pipeline</t>
        </is>
      </c>
      <c r="B166" s="7" t="inlineStr">
        <is>
          <t>pipe_id_16in</t>
        </is>
      </c>
      <c r="C166" s="7" t="inlineStr">
        <is>
          <t>16-inch: inner diameter</t>
        </is>
      </c>
      <c r="D166" s="7" t="inlineStr">
        <is>
          <t>m</t>
        </is>
      </c>
      <c r="E166" s="7" t="n">
        <v>0.3842</v>
      </c>
      <c r="F166" s="7" t="n"/>
      <c r="G166" s="7" t="n"/>
      <c r="H166" s="7" t="inlineStr">
        <is>
          <t>advanced</t>
        </is>
      </c>
      <c r="I166" s="7" t="n"/>
      <c r="J166" s="7" t="inlineStr">
        <is>
          <t>ASME B36.10 outside diameter minus a typical wall</t>
        </is>
      </c>
      <c r="K166" s="7" t="inlineStr">
        <is>
          <t>European Hydrogen Backbone cost reports; ACER unit investment cost indicators.</t>
        </is>
      </c>
    </row>
    <row r="167">
      <c r="A167" s="7" t="inlineStr">
        <is>
          <t>Hydrogen pipeline</t>
        </is>
      </c>
      <c r="B167" s="7" t="inlineStr">
        <is>
          <t>pipe_id_20in</t>
        </is>
      </c>
      <c r="C167" s="7" t="inlineStr">
        <is>
          <t>20-inch: inner diameter</t>
        </is>
      </c>
      <c r="D167" s="7" t="inlineStr">
        <is>
          <t>m</t>
        </is>
      </c>
      <c r="E167" s="7" t="n">
        <v>0.4826</v>
      </c>
      <c r="F167" s="7" t="n"/>
      <c r="G167" s="7" t="n"/>
      <c r="H167" s="7" t="inlineStr">
        <is>
          <t>advanced</t>
        </is>
      </c>
      <c r="I167" s="7" t="n"/>
      <c r="J167" s="7" t="inlineStr">
        <is>
          <t>ASME B36.10 outside diameter minus a typical wall</t>
        </is>
      </c>
      <c r="K167" s="7" t="inlineStr">
        <is>
          <t>European Hydrogen Backbone cost reports; ACER unit investment cost indicators.</t>
        </is>
      </c>
    </row>
    <row r="168">
      <c r="A168" s="7" t="inlineStr">
        <is>
          <t>Hydrogen pipeline</t>
        </is>
      </c>
      <c r="B168" s="7" t="inlineStr">
        <is>
          <t>pipe_id_24in</t>
        </is>
      </c>
      <c r="C168" s="7" t="inlineStr">
        <is>
          <t>24-inch: inner diameter</t>
        </is>
      </c>
      <c r="D168" s="7" t="inlineStr">
        <is>
          <t>m</t>
        </is>
      </c>
      <c r="E168" s="7" t="n">
        <v>0.5814</v>
      </c>
      <c r="F168" s="7" t="n"/>
      <c r="G168" s="7" t="n"/>
      <c r="H168" s="7" t="inlineStr">
        <is>
          <t>advanced</t>
        </is>
      </c>
      <c r="I168" s="7" t="n"/>
      <c r="J168" s="7" t="inlineStr">
        <is>
          <t>ASME B36.10 outside diameter minus a typical wall</t>
        </is>
      </c>
      <c r="K168" s="7" t="inlineStr">
        <is>
          <t>European Hydrogen Backbone cost reports; ACER unit investment cost indicators.</t>
        </is>
      </c>
    </row>
    <row r="169">
      <c r="A169" s="7" t="inlineStr">
        <is>
          <t>Hydrogen pipeline</t>
        </is>
      </c>
      <c r="B169" s="7" t="inlineStr">
        <is>
          <t>pipe_id_36in</t>
        </is>
      </c>
      <c r="C169" s="7" t="inlineStr">
        <is>
          <t>36-inch: inner diameter</t>
        </is>
      </c>
      <c r="D169" s="7" t="inlineStr">
        <is>
          <t>m</t>
        </is>
      </c>
      <c r="E169" s="7" t="n">
        <v>0.8758</v>
      </c>
      <c r="F169" s="7" t="n"/>
      <c r="G169" s="7" t="n"/>
      <c r="H169" s="7" t="inlineStr">
        <is>
          <t>advanced</t>
        </is>
      </c>
      <c r="I169" s="7" t="n"/>
      <c r="J169" s="7" t="inlineStr">
        <is>
          <t>ASME B36.10 outside diameter minus a typical wall</t>
        </is>
      </c>
      <c r="K169" s="7" t="inlineStr">
        <is>
          <t>European Hydrogen Backbone cost reports; ACER unit investment cost indicators.</t>
        </is>
      </c>
    </row>
    <row r="170">
      <c r="A170" s="7" t="inlineStr">
        <is>
          <t>Hydrogen pipeline</t>
        </is>
      </c>
      <c r="B170" s="7" t="inlineStr">
        <is>
          <t>pipeline_efficiency</t>
        </is>
      </c>
      <c r="C170" s="7" t="inlineStr">
        <is>
          <t>Delivery efficiency</t>
        </is>
      </c>
      <c r="D170" s="7" t="inlineStr">
        <is>
          <t>fraction</t>
        </is>
      </c>
      <c r="E170" s="7" t="n">
        <v>0.99</v>
      </c>
      <c r="F170" s="7" t="n"/>
      <c r="G170" s="7" t="n"/>
      <c r="H170" s="7" t="n"/>
      <c r="I170" s="7" t="n"/>
      <c r="J170" s="7" t="inlineStr">
        <is>
          <t>EVOLVE v9 model (OffShore-Onshore_Setting.py)</t>
        </is>
      </c>
      <c r="K170" s="7" t="inlineStr">
        <is>
          <t>European Hydrogen Backbone cost reports; ACER unit investment cost indicators.</t>
        </is>
      </c>
    </row>
    <row r="171">
      <c r="A171" s="7" t="inlineStr">
        <is>
          <t>Hydrogen pipeline</t>
        </is>
      </c>
      <c r="B171" s="7" t="inlineStr">
        <is>
          <t>pipeline_life</t>
        </is>
      </c>
      <c r="C171" s="7" t="inlineStr">
        <is>
          <t>Lifetime</t>
        </is>
      </c>
      <c r="D171" s="7" t="inlineStr">
        <is>
          <t>yr</t>
        </is>
      </c>
      <c r="E171" s="7" t="n">
        <v>40</v>
      </c>
      <c r="F171" s="7" t="n"/>
      <c r="G171" s="7" t="n"/>
      <c r="H171" s="7" t="n"/>
      <c r="I171" s="7" t="n"/>
      <c r="J171" s="7" t="inlineStr">
        <is>
          <t>EVOLVE v9 model (OffShore-Onshore_Setting.py)</t>
        </is>
      </c>
      <c r="K171" s="7" t="inlineStr">
        <is>
          <t>European Hydrogen Backbone cost reports; ACER unit investment cost indicators.</t>
        </is>
      </c>
    </row>
    <row r="172">
      <c r="A172" s="7" t="inlineStr">
        <is>
          <t>Hydrogen pipeline</t>
        </is>
      </c>
      <c r="B172" s="7" t="inlineStr">
        <is>
          <t>pipeline_fom</t>
        </is>
      </c>
      <c r="C172" s="7" t="inlineStr">
        <is>
          <t>Fixed O&amp;M</t>
        </is>
      </c>
      <c r="D172" s="7" t="inlineStr">
        <is>
          <t>fraction/yr</t>
        </is>
      </c>
      <c r="E172" s="7" t="n">
        <v>0.008999999999999999</v>
      </c>
      <c r="F172" s="7" t="n"/>
      <c r="G172" s="7" t="n"/>
      <c r="H172" s="7" t="n"/>
      <c r="I172" s="7" t="n"/>
      <c r="J172" s="7" t="inlineStr">
        <is>
          <t>EVOLVE v9 model (OffShore-Onshore_Setting.py)</t>
        </is>
      </c>
      <c r="K172" s="7" t="inlineStr">
        <is>
          <t>European Hydrogen Backbone cost reports; ACER unit investment cost indicators.</t>
        </is>
      </c>
    </row>
    <row r="173">
      <c r="A173" s="7" t="inlineStr">
        <is>
          <t>Island platform</t>
        </is>
      </c>
      <c r="B173" s="7" t="inlineStr">
        <is>
          <t>platform_cable_coef</t>
        </is>
      </c>
      <c r="C173" s="7" t="inlineStr">
        <is>
          <t>Electrical platform structure, per MW of export capacity (c_E)</t>
        </is>
      </c>
      <c r="D173" s="7" t="inlineStr">
        <is>
          <t>kEUR/MW</t>
        </is>
      </c>
      <c r="E173" s="7" t="n">
        <v>84.651</v>
      </c>
      <c r="F173" s="7" t="n"/>
      <c r="G173" s="7" t="inlineStr">
        <is>
          <t>yes</t>
        </is>
      </c>
      <c r="H173" s="7" t="n"/>
      <c r="I173" s="7" t="inlineStr">
        <is>
          <t>Topside and jacket for the export electrical equipment, sized on export capacity, 30 m water. Not the cable itself. Close to DNV GL's HVDC converter-platform costs (77-89 kEUR/MW); price year 2018 assumed.</t>
        </is>
      </c>
      <c r="J173" s="7" t="inlineStr">
        <is>
          <t>DNV GL 2018 (P2H IJmuiden Ver) via Bouma 2023, Eq. 3.3</t>
        </is>
      </c>
      <c r="K173"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74">
      <c r="A174" s="7" t="inlineStr">
        <is>
          <t>Island platform</t>
        </is>
      </c>
      <c r="B174" s="7" t="inlineStr">
        <is>
          <t>platform_elec_coef</t>
        </is>
      </c>
      <c r="C174" s="7" t="inlineStr">
        <is>
          <t>Process platform structure, per MW of island equipment (c_H)</t>
        </is>
      </c>
      <c r="D174" s="7" t="inlineStr">
        <is>
          <t>kEUR/MW</t>
        </is>
      </c>
      <c r="E174" s="7" t="n">
        <v>139.281</v>
      </c>
      <c r="F174" s="7" t="n"/>
      <c r="G174" s="7" t="inlineStr">
        <is>
          <t>yes</t>
        </is>
      </c>
      <c r="H174" s="7" t="n"/>
      <c r="I174" s="7" t="inlineStr">
        <is>
          <t>Topside and jacket for electrolysis, 30 m water, excluding the electrolysers themselves (priced under Electrolysis). Reproduces DNV GL's electrolysis-platform costs to 0.05 %; price year 2018 assumed.</t>
        </is>
      </c>
      <c r="J174" s="7" t="inlineStr">
        <is>
          <t>DNV GL 2018 (P2H IJmuiden Ver) via Bouma 2023, Eq. 3.3</t>
        </is>
      </c>
      <c r="K174"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75">
      <c r="A175" s="7" t="inlineStr">
        <is>
          <t>Island platform</t>
        </is>
      </c>
      <c r="B175" s="7" t="inlineStr">
        <is>
          <t>platform_install_factor</t>
        </is>
      </c>
      <c r="C175" s="7" t="inlineStr">
        <is>
          <t>Installation, engineering and contingency factor (k_inst)</t>
        </is>
      </c>
      <c r="D175" s="7" t="inlineStr">
        <is>
          <t>x</t>
        </is>
      </c>
      <c r="E175" s="7" t="n">
        <v>1.5</v>
      </c>
      <c r="F175" s="7" t="n"/>
      <c r="G175" s="7" t="n"/>
      <c r="H175" s="7" t="n"/>
      <c r="I175" s="7" t="inlineStr">
        <is>
          <t>1.15 for installation (DNV GL: about 15 % of fabrication and supply) x 1.30 for engineering, owner's cost and contingency (stated assumption, after Ekhar 2021). Test 1.15-1.6.</t>
        </is>
      </c>
      <c r="J175" s="7" t="inlineStr">
        <is>
          <t>Bouma 2023 (value); DNV GL 2018 and Ekhar 2021 (decomposition, stated)</t>
        </is>
      </c>
      <c r="K175"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76">
      <c r="A176" s="7" t="inlineStr">
        <is>
          <t>Island platform</t>
        </is>
      </c>
      <c r="B176" s="7" t="inlineStr">
        <is>
          <t>platform_escalation</t>
        </is>
      </c>
      <c r="C176" s="7" t="inlineStr">
        <is>
          <t>Price escalation of the platform coefficients (k_esc)</t>
        </is>
      </c>
      <c r="D176" s="7" t="inlineStr">
        <is>
          <t>x</t>
        </is>
      </c>
      <c r="E176" s="7" t="n">
        <v>1</v>
      </c>
      <c r="F176" s="7" t="n"/>
      <c r="G176" s="7" t="n"/>
      <c r="H176" s="7" t="n"/>
      <c r="I176" s="7" t="inlineStr">
        <is>
          <t>Multiplies c_E and c_H to bring 2018 EUR to the model's price year. 1.0 keeps 2018 prices.</t>
        </is>
      </c>
      <c r="J176" s="7" t="inlineStr">
        <is>
          <t>Assumption: 2018 EUR basis kept</t>
        </is>
      </c>
      <c r="K176"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77">
      <c r="A177" s="7" t="inlineStr">
        <is>
          <t>Island platform</t>
        </is>
      </c>
      <c r="B177" s="7" t="inlineStr">
        <is>
          <t>platform_fixed_eur</t>
        </is>
      </c>
      <c r="C177" s="7" t="inlineStr">
        <is>
          <t>Fixed platform cost (C_0)</t>
        </is>
      </c>
      <c r="D177" s="7" t="inlineStr">
        <is>
          <t>EUR</t>
        </is>
      </c>
      <c r="E177" s="7" t="n">
        <v>0</v>
      </c>
      <c r="F177" s="7" t="n"/>
      <c r="G177" s="7" t="n"/>
      <c r="H177" s="7" t="inlineStr">
        <is>
          <t>advanced</t>
        </is>
      </c>
      <c r="I177" s="7" t="inlineStr">
        <is>
          <t>Cost of a platform independent of its size; matters for islands below about 100 MW. Added as a constant to the platform of configurations A and B (0 = off).</t>
        </is>
      </c>
      <c r="J177" s="7" t="inlineStr">
        <is>
          <t>Assumption (ORBIT: 285 t of fixed topside mass)</t>
        </is>
      </c>
      <c r="K177"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78">
      <c r="A178" s="7" t="inlineStr">
        <is>
          <t>Island platform</t>
        </is>
      </c>
      <c r="B178" s="7" t="inlineStr">
        <is>
          <t>platform_w_comp</t>
        </is>
      </c>
      <c r="C178" s="7" t="inlineStr">
        <is>
          <t>Weight of compressor MW on the process platform</t>
        </is>
      </c>
      <c r="D178" s="7" t="inlineStr">
        <is>
          <t>-</t>
        </is>
      </c>
      <c r="E178" s="7" t="n">
        <v>1</v>
      </c>
      <c r="F178" s="7" t="n"/>
      <c r="G178" s="7" t="n"/>
      <c r="H178" s="7" t="inlineStr">
        <is>
          <t>advanced</t>
        </is>
      </c>
      <c r="I178" s="7" t="inlineStr">
        <is>
          <t>Bouma's coefficient covers electrolyser MW only; 1 counts compressors like electrolysers, 0 leaves them out. Test 0-1.</t>
        </is>
      </c>
      <c r="J178" s="7" t="inlineStr">
        <is>
          <t>Assumption</t>
        </is>
      </c>
      <c r="K178"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79">
      <c r="A179" s="7" t="inlineStr">
        <is>
          <t>Island platform</t>
        </is>
      </c>
      <c r="B179" s="7" t="inlineStr">
        <is>
          <t>platform_w_fc</t>
        </is>
      </c>
      <c r="C179" s="7" t="inlineStr">
        <is>
          <t>Weight of fuel-cell MW on the process platform</t>
        </is>
      </c>
      <c r="D179" s="7" t="inlineStr">
        <is>
          <t>-</t>
        </is>
      </c>
      <c r="E179" s="7" t="n">
        <v>1</v>
      </c>
      <c r="F179" s="7" t="n"/>
      <c r="G179" s="7" t="n"/>
      <c r="H179" s="7" t="inlineStr">
        <is>
          <t>advanced</t>
        </is>
      </c>
      <c r="I179" s="7" t="inlineStr">
        <is>
          <t>As for compressors. Test 0-1.</t>
        </is>
      </c>
      <c r="J179" s="7" t="inlineStr">
        <is>
          <t>Assumption</t>
        </is>
      </c>
      <c r="K179"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80">
      <c r="A180" s="7" t="inlineStr">
        <is>
          <t>Island platform</t>
        </is>
      </c>
      <c r="B180" s="7" t="inlineStr">
        <is>
          <t>platform_w_bat</t>
        </is>
      </c>
      <c r="C180" s="7" t="inlineStr">
        <is>
          <t>Weight of battery MW on the process platform</t>
        </is>
      </c>
      <c r="D180" s="7" t="inlineStr">
        <is>
          <t>-</t>
        </is>
      </c>
      <c r="E180" s="7" t="n">
        <v>1</v>
      </c>
      <c r="F180" s="7" t="n"/>
      <c r="G180" s="7" t="n"/>
      <c r="H180" s="7" t="inlineStr">
        <is>
          <t>advanced</t>
        </is>
      </c>
      <c r="I180" s="7" t="inlineStr">
        <is>
          <t>As for compressors. Test 0-1.</t>
        </is>
      </c>
      <c r="J180" s="7" t="inlineStr">
        <is>
          <t>Assumption</t>
        </is>
      </c>
      <c r="K180"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81">
      <c r="A181" s="7" t="inlineStr">
        <is>
          <t>Island platform</t>
        </is>
      </c>
      <c r="B181" s="7" t="inlineStr">
        <is>
          <t>platform_ref_depth_m</t>
        </is>
      </c>
      <c r="C181" s="7" t="inlineStr">
        <is>
          <t>Reference depth of the coefficients</t>
        </is>
      </c>
      <c r="D181" s="7" t="inlineStr">
        <is>
          <t>m</t>
        </is>
      </c>
      <c r="E181" s="7" t="n">
        <v>30</v>
      </c>
      <c r="F181" s="7" t="n"/>
      <c r="G181" s="7" t="n"/>
      <c r="H181" s="7" t="inlineStr">
        <is>
          <t>advanced</t>
        </is>
      </c>
      <c r="I181" s="7" t="n"/>
      <c r="J181" s="7" t="inlineStr">
        <is>
          <t>DNV GL 2018: jacket in 30 m</t>
        </is>
      </c>
      <c r="K181"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82">
      <c r="A182" s="7" t="inlineStr">
        <is>
          <t>Island platform</t>
        </is>
      </c>
      <c r="B182" s="7" t="inlineStr">
        <is>
          <t>platform_jacket_share_h</t>
        </is>
      </c>
      <c r="C182" s="7" t="inlineStr">
        <is>
          <t>Jacket share of the process platform (s_H)</t>
        </is>
      </c>
      <c r="D182" s="7" t="inlineStr">
        <is>
          <t>fraction</t>
        </is>
      </c>
      <c r="E182" s="7" t="n">
        <v>0.28</v>
      </c>
      <c r="F182" s="7" t="n"/>
      <c r="G182" s="7" t="n"/>
      <c r="H182" s="7" t="n"/>
      <c r="I182" s="7" t="n"/>
      <c r="J182" s="7" t="inlineStr">
        <is>
          <t>DNV GL 2018 electrolysis-platform tables (0.27-0.28)</t>
        </is>
      </c>
      <c r="K182"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83">
      <c r="A183" s="7" t="inlineStr">
        <is>
          <t>Island platform</t>
        </is>
      </c>
      <c r="B183" s="7" t="inlineStr">
        <is>
          <t>platform_jacket_share_e</t>
        </is>
      </c>
      <c r="C183" s="7" t="inlineStr">
        <is>
          <t>Jacket share of the electrical platform (s_E)</t>
        </is>
      </c>
      <c r="D183" s="7" t="inlineStr">
        <is>
          <t>fraction</t>
        </is>
      </c>
      <c r="E183" s="7" t="n">
        <v>0.22</v>
      </c>
      <c r="F183" s="7" t="n"/>
      <c r="G183" s="7" t="n"/>
      <c r="H183" s="7" t="n"/>
      <c r="I183" s="7" t="n"/>
      <c r="J183" s="7" t="inlineStr">
        <is>
          <t>DNV GL 2018 HVDC-platform tables</t>
        </is>
      </c>
      <c r="K183"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84">
      <c r="A184" s="7" t="inlineStr">
        <is>
          <t>Island platform</t>
        </is>
      </c>
      <c r="B184" s="7" t="inlineStr">
        <is>
          <t>platform_depth_exponent</t>
        </is>
      </c>
      <c r="C184" s="7" t="inlineStr">
        <is>
          <t>Jacket cost exponent on depth (alpha)</t>
        </is>
      </c>
      <c r="D184" s="7" t="inlineStr">
        <is>
          <t>-</t>
        </is>
      </c>
      <c r="E184" s="7" t="n">
        <v>1</v>
      </c>
      <c r="F184" s="7" t="n"/>
      <c r="G184" s="7" t="n"/>
      <c r="H184" s="7" t="n"/>
      <c r="I184" s="7" t="inlineStr">
        <is>
          <t>Bottom-fixed: the jacket share scales with (depth / reference depth)^alpha. 1.0 from Ekhar's jacket mass per metre of depth; 1.56 from BVG's substation foundation at 50 and 100 m.</t>
        </is>
      </c>
      <c r="J184" s="7" t="inlineStr">
        <is>
          <t>Ekhar 2021 (1.0); BVG Associates 2024 guides (1.56)</t>
        </is>
      </c>
      <c r="K184"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85">
      <c r="A185" s="7" t="inlineStr">
        <is>
          <t>Island platform</t>
        </is>
      </c>
      <c r="B185" s="7" t="inlineStr">
        <is>
          <t>platform_float_topside_uplift</t>
        </is>
      </c>
      <c r="C185" s="7" t="inlineStr">
        <is>
          <t>Floating: topside uplift (u)</t>
        </is>
      </c>
      <c r="D185" s="7" t="inlineStr">
        <is>
          <t>x</t>
        </is>
      </c>
      <c r="E185" s="7" t="n">
        <v>1.1</v>
      </c>
      <c r="F185" s="7" t="n"/>
      <c r="G185" s="7" t="n"/>
      <c r="H185" s="7" t="n"/>
      <c r="I185" s="7" t="inlineStr">
        <is>
          <t>Motion-tolerant topside on a floating hull (Dolphyn barge trial: output varying with motion, sloshing). Test 1.0-1.2.</t>
        </is>
      </c>
      <c r="J185" s="7" t="inlineStr">
        <is>
          <t>Assumption, after DESNZ 2024 (ERM Dolphyn)</t>
        </is>
      </c>
      <c r="K185"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86">
      <c r="A186" s="7" t="inlineStr">
        <is>
          <t>Island platform</t>
        </is>
      </c>
      <c r="B186" s="7" t="inlineStr">
        <is>
          <t>platform_float_hull_ratio</t>
        </is>
      </c>
      <c r="C186" s="7" t="inlineStr">
        <is>
          <t>Floating: hull and moorings vs jacket (r)</t>
        </is>
      </c>
      <c r="D186" s="7" t="inlineStr">
        <is>
          <t>x</t>
        </is>
      </c>
      <c r="E186" s="7" t="n">
        <v>3</v>
      </c>
      <c r="F186" s="7" t="n"/>
      <c r="G186" s="7" t="n"/>
      <c r="H186" s="7" t="n"/>
      <c r="I186" s="7" t="inlineStr">
        <is>
          <t>Cost of the floating hull with moorings relative to the jacket it replaces. BVG: semi-submersible with moorings 3.9 x a monopile; Myhr et al.: manufacturing factor 2.0. Test 2.0-3.9. Resulting floating factor about 1.6 (process) and 1.5 (electrical) instead of the earlier 2.0, for which no source exists.</t>
        </is>
      </c>
      <c r="J186" s="7" t="inlineStr">
        <is>
          <t>BVG Associates 2024 guides; Myhr et al. (via Frontiers 2026 review)</t>
        </is>
      </c>
      <c r="K186"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87">
      <c r="A187" s="7" t="inlineStr">
        <is>
          <t>Island platform</t>
        </is>
      </c>
      <c r="B187" s="7" t="inlineStr">
        <is>
          <t>platform_life</t>
        </is>
      </c>
      <c r="C187" s="7" t="inlineStr">
        <is>
          <t>Lifetime</t>
        </is>
      </c>
      <c r="D187" s="7" t="inlineStr">
        <is>
          <t>yr</t>
        </is>
      </c>
      <c r="E187" s="7" t="n">
        <v>25</v>
      </c>
      <c r="F187" s="7" t="n"/>
      <c r="G187" s="7" t="n"/>
      <c r="H187" s="7" t="n"/>
      <c r="I187" s="7" t="n"/>
      <c r="J187" s="7" t="inlineStr">
        <is>
          <t>EVOLVE v9 model (OffShore-Onshore_Setting.py)</t>
        </is>
      </c>
      <c r="K187"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88">
      <c r="A188" s="7" t="inlineStr">
        <is>
          <t>Island platform</t>
        </is>
      </c>
      <c r="B188" s="7" t="inlineStr">
        <is>
          <t>platform_fom</t>
        </is>
      </c>
      <c r="C188" s="7" t="inlineStr">
        <is>
          <t>Fixed O&amp;M, bottom-fixed and turbine-level</t>
        </is>
      </c>
      <c r="D188" s="7" t="inlineStr">
        <is>
          <t>fraction/yr</t>
        </is>
      </c>
      <c r="E188" s="7" t="n">
        <v>0.02</v>
      </c>
      <c r="F188" s="7" t="n"/>
      <c r="G188" s="7" t="n"/>
      <c r="H188" s="7" t="n"/>
      <c r="I188" s="7" t="n"/>
      <c r="J188" s="7" t="inlineStr">
        <is>
          <t>Bouma 2023</t>
        </is>
      </c>
      <c r="K188"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89">
      <c r="A189" s="7" t="inlineStr">
        <is>
          <t>Island platform</t>
        </is>
      </c>
      <c r="B189" s="7" t="inlineStr">
        <is>
          <t>platform_fom_floating</t>
        </is>
      </c>
      <c r="C189" s="7" t="inlineStr">
        <is>
          <t>Fixed O&amp;M, floating central platform</t>
        </is>
      </c>
      <c r="D189" s="7" t="inlineStr">
        <is>
          <t>fraction/yr</t>
        </is>
      </c>
      <c r="E189" s="7" t="n">
        <v>0.03</v>
      </c>
      <c r="F189" s="7" t="n"/>
      <c r="G189" s="7" t="n"/>
      <c r="H189" s="7" t="n"/>
      <c r="I189" s="7" t="inlineStr">
        <is>
          <t>Floating hubs need more inspection and are manned more often; published values span 1-7 %/yr.</t>
        </is>
      </c>
      <c r="J189" s="7" t="inlineStr">
        <is>
          <t>Assumption within Travaglini et al. 2025 (1 %), Bouma 2023 (2 %), Lanni et al. 2025 (7 %)</t>
        </is>
      </c>
      <c r="K189"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90">
      <c r="A190" s="7" t="inlineStr">
        <is>
          <t>Island platform</t>
        </is>
      </c>
      <c r="B190" s="7" t="inlineStr">
        <is>
          <t>dyn_cable_km</t>
        </is>
      </c>
      <c r="C190" s="7" t="inlineStr">
        <is>
          <t>Floating: dynamic section of each export circuit</t>
        </is>
      </c>
      <c r="D190" s="7" t="inlineStr">
        <is>
          <t>km</t>
        </is>
      </c>
      <c r="E190" s="7" t="n">
        <v>0.5</v>
      </c>
      <c r="F190" s="7" t="n"/>
      <c r="G190" s="7" t="n"/>
      <c r="H190" s="7" t="n"/>
      <c r="I190" s="7" t="inlineStr">
        <is>
          <t>Length of the export cable between the floating platform and the seabed (lazy wave), priced with the dynamic premium. A few times the water depth.</t>
        </is>
      </c>
      <c r="J190" s="7" t="inlineStr">
        <is>
          <t>Assumption</t>
        </is>
      </c>
      <c r="K190"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91">
      <c r="A191" s="7" t="inlineStr">
        <is>
          <t>Island platform</t>
        </is>
      </c>
      <c r="B191" s="7" t="inlineStr">
        <is>
          <t>dyn_cable_premium</t>
        </is>
      </c>
      <c r="C191" s="7" t="inlineStr">
        <is>
          <t>Floating: dynamic cable premium</t>
        </is>
      </c>
      <c r="D191" s="7" t="inlineStr">
        <is>
          <t>fraction</t>
        </is>
      </c>
      <c r="E191" s="7" t="n">
        <v>0.75</v>
      </c>
      <c r="F191" s="7" t="n"/>
      <c r="G191" s="7" t="n"/>
      <c r="H191" s="7" t="n"/>
      <c r="I191" s="7" t="inlineStr">
        <is>
          <t>Extra cost per km of dynamic over static cable: +30-50 % up to 33 kV, +60-90 % up to 66 kV (Collin et al., cited by Ibrahim et al. 2022). No data above 66 kV.</t>
        </is>
      </c>
      <c r="J191" s="7" t="inlineStr">
        <is>
          <t>Collin et al. via Ibrahim et al. 2022</t>
        </is>
      </c>
      <c r="K191"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92">
      <c r="A192" s="7" t="inlineStr">
        <is>
          <t>Island platform</t>
        </is>
      </c>
      <c r="B192" s="7" t="inlineStr">
        <is>
          <t>dyn_cable_max_kv</t>
        </is>
      </c>
      <c r="C192" s="7" t="inlineStr">
        <is>
          <t>Floating: highest qualified dynamic export voltage</t>
        </is>
      </c>
      <c r="D192" s="7" t="inlineStr">
        <is>
          <t>kV</t>
        </is>
      </c>
      <c r="E192" s="7" t="n">
        <v>66</v>
      </c>
      <c r="F192" s="7" t="n"/>
      <c r="G192" s="7" t="n"/>
      <c r="H192" s="7" t="n"/>
      <c r="I192" s="7" t="inlineStr">
        <is>
          <t>Dynamic export cables are commercially qualified up to 66 kV (DNV 2021; BVG 2024). A floating central platform with a higher export voltage is reported as a warning, or excluded if the next input is on.</t>
        </is>
      </c>
      <c r="J192" s="7" t="inlineStr">
        <is>
          <t>DNV 2021; BVG Associates 2024</t>
        </is>
      </c>
      <c r="K192"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93">
      <c r="A193" s="7" t="inlineStr">
        <is>
          <t>Island platform</t>
        </is>
      </c>
      <c r="B193" s="7" t="inlineStr">
        <is>
          <t>dyn_cable_restrict</t>
        </is>
      </c>
      <c r="C193" s="7" t="inlineStr">
        <is>
          <t>Floating: allow only qualified dynamic voltages</t>
        </is>
      </c>
      <c r="D193" s="7" t="inlineStr">
        <is>
          <t>-</t>
        </is>
      </c>
      <c r="E193" s="7" t="inlineStr">
        <is>
          <t>False</t>
        </is>
      </c>
      <c r="F193" s="7" t="n"/>
      <c r="G193" s="7" t="n"/>
      <c r="H193" s="7" t="n"/>
      <c r="I193" s="7" t="inlineStr">
        <is>
          <t>On: AC options above the qualified dynamic voltage are not offered to a floating central platform.</t>
        </is>
      </c>
      <c r="J193" s="7" t="n"/>
      <c r="K193"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94">
      <c r="A194" s="7" t="inlineStr">
        <is>
          <t>Island platform</t>
        </is>
      </c>
      <c r="B194" s="7" t="inlineStr">
        <is>
          <t>turbine_integration_factor</t>
        </is>
      </c>
      <c r="C194" s="7" t="inlineStr">
        <is>
          <t>Turbine-level: integration factor (f_C)</t>
        </is>
      </c>
      <c r="D194" s="7" t="inlineStr">
        <is>
          <t>-</t>
        </is>
      </c>
      <c r="E194" s="7" t="n">
        <v>0.5</v>
      </c>
      <c r="F194" s="7" t="n"/>
      <c r="G194" s="7" t="n"/>
      <c r="H194" s="7" t="n"/>
      <c r="I194" s="7" t="inlineStr">
        <is>
          <t>Cost of enlarging each turbine floater for its electrolyser, desalination, buffer and standby power, as a share of the process-platform cost per MW (f_C x k_esc x k_inst x c_H). No published value exists: 0 in Lanni et al. 2025 and Travaglini et al. 2025, 1 in the earlier model. Test 0-1.</t>
        </is>
      </c>
      <c r="J194" s="7" t="inlineStr">
        <is>
          <t>Assumption bracketed by Lanni et al. 2025 (0) and EVOLVE 0.9 (1)</t>
        </is>
      </c>
      <c r="K194"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95">
      <c r="A195" s="7" t="inlineStr">
        <is>
          <t>Island platform</t>
        </is>
      </c>
      <c r="B195" s="7" t="inlineStr">
        <is>
          <t>turbine_ez_scale_factor</t>
        </is>
      </c>
      <c r="C195" s="7" t="inlineStr">
        <is>
          <t>Turbine-level: electrolyser scale penalty (k_scale)</t>
        </is>
      </c>
      <c r="D195" s="7" t="inlineStr">
        <is>
          <t>x</t>
        </is>
      </c>
      <c r="E195" s="7" t="n">
        <v>1.3</v>
      </c>
      <c r="F195" s="7" t="n"/>
      <c r="G195" s="7" t="n"/>
      <c r="H195" s="7" t="n"/>
      <c r="I195" s="7" t="inlineStr">
        <is>
          <t>Electrolysers of one turbine's size cost more per kW than a central plant: 1.30 (Singlitico et al. 2021, 15 MW against 100 MW and more), 1.24 (DNV GL 2018 balance-of-plant scaling), 3-4 (Travaglini et al. 2025). Test 1.0-3.7.</t>
        </is>
      </c>
      <c r="J195" s="7" t="inlineStr">
        <is>
          <t>Singlitico et al. 2021; DNV GL 2018 with Ekhar 2021</t>
        </is>
      </c>
      <c r="K195"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96">
      <c r="A196" s="7" t="inlineStr">
        <is>
          <t>Island platform</t>
        </is>
      </c>
      <c r="B196" s="7" t="inlineStr">
        <is>
          <t>infield_pipe_eur_km</t>
        </is>
      </c>
      <c r="C196" s="7" t="inlineStr">
        <is>
          <t>Turbine-level: in-field hydrogen pipeline</t>
        </is>
      </c>
      <c r="D196" s="7" t="inlineStr">
        <is>
          <t>EUR/km</t>
        </is>
      </c>
      <c r="E196" s="7" t="n">
        <v>550000</v>
      </c>
      <c r="F196" s="7" t="n"/>
      <c r="G196" s="7" t="n"/>
      <c r="H196" s="7" t="n"/>
      <c r="I196" s="7" t="inlineStr">
        <is>
          <t>Small-diameter flowlines from each turbine to the export pipeline. 0.2-0.9 MEUR/km.</t>
        </is>
      </c>
      <c r="J196" s="7" t="inlineStr">
        <is>
          <t>Travaglini et al. 2025 (2030+)</t>
        </is>
      </c>
      <c r="K196"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97">
      <c r="A197" s="7" t="inlineStr">
        <is>
          <t>Island platform</t>
        </is>
      </c>
      <c r="B197" s="7" t="inlineStr">
        <is>
          <t>infield_km_per_turbine</t>
        </is>
      </c>
      <c r="C197" s="7" t="inlineStr">
        <is>
          <t>Turbine-level: in-field pipeline per turbine</t>
        </is>
      </c>
      <c r="D197" s="7" t="inlineStr">
        <is>
          <t>km</t>
        </is>
      </c>
      <c r="E197" s="7" t="n">
        <v>1</v>
      </c>
      <c r="F197" s="7" t="n"/>
      <c r="G197" s="7" t="n"/>
      <c r="H197" s="7" t="n"/>
      <c r="I197" s="7" t="inlineStr">
        <is>
          <t>About the turbine spacing (Dolphyn layout: about 1 km).</t>
        </is>
      </c>
      <c r="J197" s="7" t="inlineStr">
        <is>
          <t>ERM 2019 (Dolphyn)</t>
        </is>
      </c>
      <c r="K197"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98">
      <c r="A198" s="7" t="inlineStr">
        <is>
          <t>Island platform</t>
        </is>
      </c>
      <c r="B198" s="7" t="inlineStr">
        <is>
          <t>infield_pipe_fom</t>
        </is>
      </c>
      <c r="C198" s="7" t="inlineStr">
        <is>
          <t>Turbine-level: in-field pipeline O&amp;M</t>
        </is>
      </c>
      <c r="D198" s="7" t="inlineStr">
        <is>
          <t>fraction/yr</t>
        </is>
      </c>
      <c r="E198" s="7" t="n">
        <v>0.005</v>
      </c>
      <c r="F198" s="7" t="n"/>
      <c r="G198" s="7" t="n"/>
      <c r="H198" s="7" t="n"/>
      <c r="I198" s="7" t="n"/>
      <c r="J198" s="7" t="inlineStr">
        <is>
          <t>Travaglini et al. 2025</t>
        </is>
      </c>
      <c r="K198"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199">
      <c r="A199" s="7" t="inlineStr">
        <is>
          <t>Island platform</t>
        </is>
      </c>
      <c r="B199" s="7" t="inlineStr">
        <is>
          <t>infield_manifold_eur</t>
        </is>
      </c>
      <c r="C199" s="7" t="inlineStr">
        <is>
          <t>Turbine-level: collection manifold</t>
        </is>
      </c>
      <c r="D199" s="7" t="inlineStr">
        <is>
          <t>EUR</t>
        </is>
      </c>
      <c r="E199" s="7" t="n">
        <v>50000</v>
      </c>
      <c r="F199" s="7" t="n"/>
      <c r="G199" s="7" t="n"/>
      <c r="H199" s="7" t="inlineStr">
        <is>
          <t>advanced</t>
        </is>
      </c>
      <c r="I199" s="7" t="inlineStr">
        <is>
          <t>Hub joining the in-field lines to the export pipeline; probably low.</t>
        </is>
      </c>
      <c r="J199" s="7" t="inlineStr">
        <is>
          <t>Lanni et al. 2025</t>
        </is>
      </c>
      <c r="K199"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200">
      <c r="A200" s="7" t="inlineStr">
        <is>
          <t>Island platform</t>
        </is>
      </c>
      <c r="B200" s="7" t="inlineStr">
        <is>
          <t>array_cable_credit_eur_mw</t>
        </is>
      </c>
      <c r="C200" s="7" t="inlineStr">
        <is>
          <t>Turbine-level: array cables not needed</t>
        </is>
      </c>
      <c r="D200" s="7" t="inlineStr">
        <is>
          <t>EUR/MW</t>
        </is>
      </c>
      <c r="E200" s="7" t="n">
        <v>145000</v>
      </c>
      <c r="F200" s="7" t="n"/>
      <c r="G200" s="7" t="n"/>
      <c r="H200" s="7" t="n"/>
      <c r="I200" s="7" t="inlineStr">
        <is>
          <t>Turbine-level electrolysis needs no electrical array cables. The floating wind CAPEX includes them (Lanni et al. 2025: 0.145 MEUR/MW floating, 0.053 bottom-fixed), so they are deducted.</t>
        </is>
      </c>
      <c r="J200" s="7" t="inlineStr">
        <is>
          <t>Lanni et al. 2025, Table 3</t>
        </is>
      </c>
      <c r="K200"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201">
      <c r="A201" s="7" t="inlineStr">
        <is>
          <t>Island platform</t>
        </is>
      </c>
      <c r="B201" s="7" t="inlineStr">
        <is>
          <t>turbine_ez_eff_gain</t>
        </is>
      </c>
      <c r="C201" s="7" t="inlineStr">
        <is>
          <t>Turbine-level: avoided electrical losses</t>
        </is>
      </c>
      <c r="D201" s="7" t="inlineStr">
        <is>
          <t>fraction</t>
        </is>
      </c>
      <c r="E201" s="7" t="n">
        <v>0.005</v>
      </c>
      <c r="F201" s="7" t="n"/>
      <c r="G201" s="7" t="n"/>
      <c r="H201" s="7" t="n"/>
      <c r="I201" s="7" t="inlineStr">
        <is>
          <t>Extra hydrogen per MWh because the array and AC/DC chain losses are avoided (0.5 % intra-array loss in Lanni et al. 2025). Test 0-1 %.</t>
        </is>
      </c>
      <c r="J201" s="7" t="inlineStr">
        <is>
          <t>Lanni et al. 2025</t>
        </is>
      </c>
      <c r="K201" s="7" t="inlineStr">
        <is>
          <t>DNV GL 2018 cost model via Bouma (2023); BVG Associates guides to offshore wind farms (fixed and floating); NREL offshore wind cost reviews; DNV 2021 floating substations JIP; Dolphyn / ERM 2019 and DESNZ 2024 for turbine-level electrolysis; partner engineering estimates.</t>
        </is>
      </c>
    </row>
    <row r="202">
      <c r="A202" s="7" t="inlineStr">
        <is>
          <t>Solver</t>
        </is>
      </c>
      <c r="B202" s="7" t="inlineStr">
        <is>
          <t>shortfall_penalty_eur_mwh</t>
        </is>
      </c>
      <c r="C202" s="7" t="inlineStr">
        <is>
          <t>Penalty for undelivered electricity</t>
        </is>
      </c>
      <c r="D202" s="7" t="inlineStr">
        <is>
          <t>EUR/MWh</t>
        </is>
      </c>
      <c r="E202" s="7" t="n">
        <v>3000</v>
      </c>
      <c r="F202" s="7" t="n"/>
      <c r="G202" s="7" t="n"/>
      <c r="H202" s="7" t="inlineStr">
        <is>
          <t>advanced</t>
        </is>
      </c>
      <c r="I202" s="7" t="n"/>
      <c r="J202" s="7" t="inlineStr">
        <is>
          <t>EVOLVE v9 model (OffShore-Onshore_Setting.py)</t>
        </is>
      </c>
      <c r="K202" s="7" t="inlineStr">
        <is>
          <t>Keep the defaults unless you know why to change them.</t>
        </is>
      </c>
    </row>
    <row r="203">
      <c r="A203" s="7" t="inlineStr">
        <is>
          <t>Solver</t>
        </is>
      </c>
      <c r="B203" s="7" t="inlineStr">
        <is>
          <t>shortfall_penalty_eur_kg</t>
        </is>
      </c>
      <c r="C203" s="7" t="inlineStr">
        <is>
          <t>Penalty for undelivered hydrogen</t>
        </is>
      </c>
      <c r="D203" s="7" t="inlineStr">
        <is>
          <t>EUR/kg</t>
        </is>
      </c>
      <c r="E203" s="7" t="n">
        <v>100</v>
      </c>
      <c r="F203" s="7" t="n"/>
      <c r="G203" s="7" t="n"/>
      <c r="H203" s="7" t="inlineStr">
        <is>
          <t>advanced</t>
        </is>
      </c>
      <c r="I203" s="7" t="n"/>
      <c r="J203" s="7" t="inlineStr">
        <is>
          <t>EVOLVE v9 model (OffShore-Onshore_Setting.py)</t>
        </is>
      </c>
      <c r="K203" s="7" t="inlineStr">
        <is>
          <t>Keep the defaults unless you know why to change them.</t>
        </is>
      </c>
    </row>
    <row r="204">
      <c r="A204" s="7" t="inlineStr">
        <is>
          <t>Solver</t>
        </is>
      </c>
      <c r="B204" s="7" t="inlineStr">
        <is>
          <t>lhv_h2_kwh_kg</t>
        </is>
      </c>
      <c r="C204" s="7" t="inlineStr">
        <is>
          <t>Hydrogen LHV</t>
        </is>
      </c>
      <c r="D204" s="7" t="inlineStr">
        <is>
          <t>kWh/kg</t>
        </is>
      </c>
      <c r="E204" s="7" t="n">
        <v>33.3</v>
      </c>
      <c r="F204" s="7" t="n"/>
      <c r="G204" s="7" t="n"/>
      <c r="H204" s="7" t="inlineStr">
        <is>
          <t>advanced</t>
        </is>
      </c>
      <c r="I204" s="7" t="n"/>
      <c r="J204" s="7" t="inlineStr">
        <is>
          <t>EVOLVE v9 model (OffShore-Onshore_Setting.py)</t>
        </is>
      </c>
      <c r="K204" s="7" t="inlineStr">
        <is>
          <t>Keep the defaults unless you know why to change them.</t>
        </is>
      </c>
    </row>
    <row r="205">
      <c r="A205" s="7" t="inlineStr">
        <is>
          <t>Solver</t>
        </is>
      </c>
      <c r="B205" s="7" t="inlineStr">
        <is>
          <t>cap_ub_mw</t>
        </is>
      </c>
      <c r="C205" s="7" t="inlineStr">
        <is>
          <t>Upper bound on any converter or cable capacity</t>
        </is>
      </c>
      <c r="D205" s="7" t="inlineStr">
        <is>
          <t>MW</t>
        </is>
      </c>
      <c r="E205" s="7" t="n">
        <v>5000</v>
      </c>
      <c r="F205" s="7" t="n"/>
      <c r="G205" s="7" t="n"/>
      <c r="H205" s="7" t="inlineStr">
        <is>
          <t>advanced</t>
        </is>
      </c>
      <c r="I205" s="7" t="n"/>
      <c r="J205" s="7" t="inlineStr">
        <is>
          <t>EVOLVE v9 model (OffShore-Onshore_Setting.py)</t>
        </is>
      </c>
      <c r="K205" s="7" t="inlineStr">
        <is>
          <t>Keep the defaults unless you know why to change them.</t>
        </is>
      </c>
    </row>
    <row r="206">
      <c r="A206" s="7" t="inlineStr">
        <is>
          <t>Solver</t>
        </is>
      </c>
      <c r="B206" s="7" t="inlineStr">
        <is>
          <t>cap_renewable_ub_mw</t>
        </is>
      </c>
      <c r="C206" s="7" t="inlineStr">
        <is>
          <t>Upper bound on wind and PV capacity</t>
        </is>
      </c>
      <c r="D206" s="7" t="inlineStr">
        <is>
          <t>MW</t>
        </is>
      </c>
      <c r="E206" s="7" t="n">
        <v>10000</v>
      </c>
      <c r="F206" s="7" t="n"/>
      <c r="G206" s="7" t="n"/>
      <c r="H206" s="7" t="inlineStr">
        <is>
          <t>advanced</t>
        </is>
      </c>
      <c r="I206" s="7" t="inlineStr">
        <is>
          <t>The usable sea area and power densities normally limit wind and PV first.</t>
        </is>
      </c>
      <c r="J206" s="7" t="inlineStr">
        <is>
          <t>EVOLVE v9 model (OffShore-Onshore_Setting.py)</t>
        </is>
      </c>
      <c r="K206" s="7" t="inlineStr">
        <is>
          <t>Keep the defaults unless you know why to change them.</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46" customWidth="1" min="3" max="3"/>
    <col width="70" customWidth="1" min="4" max="4"/>
    <col width="44" customWidth="1" min="5" max="5"/>
    <col width="44" customWidth="1" min="6" max="6"/>
  </cols>
  <sheetData>
    <row r="1">
      <c r="A1" s="6" t="inlineStr">
        <is>
          <t>Item</t>
        </is>
      </c>
      <c r="B1" s="6" t="inlineStr">
        <is>
          <t>Unit</t>
        </is>
      </c>
      <c r="C1" s="6" t="inlineStr">
        <is>
          <t>Why the planner needs it</t>
        </is>
      </c>
      <c r="D1" s="6" t="inlineStr">
        <is>
          <t>Where to get it</t>
        </is>
      </c>
      <c r="E1" s="6" t="inlineStr">
        <is>
          <t>Link</t>
        </is>
      </c>
      <c r="F1" s="6" t="inlineStr">
        <is>
          <t>Second link</t>
        </is>
      </c>
    </row>
    <row r="2">
      <c r="A2" s="7" t="inlineStr">
        <is>
          <t>Water depth at the island</t>
        </is>
      </c>
      <c r="B2" s="7" t="inlineStr">
        <is>
          <t>m</t>
        </is>
      </c>
      <c r="C2" s="7" t="inlineStr">
        <is>
          <t>Sets floating (deeper than the threshold, 60 m by default) or bottom-fixed</t>
        </is>
      </c>
      <c r="D2" s="7" t="inlineStr">
        <is>
          <t>EMODnet Bathymetry DTM 2024 (1/16 arc-minute, ~115 m); GEBCO_2026 grid (15 arc-second, public domain)</t>
        </is>
      </c>
      <c r="E2" s="8" t="inlineStr">
        <is>
          <t>https://emodnet.ec.europa.eu/geoviewer/</t>
        </is>
      </c>
      <c r="F2" s="8" t="inlineStr">
        <is>
          <t>https://download.gebco.net</t>
        </is>
      </c>
    </row>
    <row r="3">
      <c r="A3" s="7" t="inlineStr">
        <is>
          <t>Usable sea area</t>
        </is>
      </c>
      <c r="B3" s="7" t="inlineStr">
        <is>
          <t>km²</t>
        </is>
      </c>
      <c r="C3" s="7" t="inlineStr">
        <is>
          <t>Caps wind and PV capacity through the power densities</t>
        </is>
      </c>
      <c r="D3" s="7" t="inlineStr">
        <is>
          <t>National maritime spatial plans; EMODnet Human Activities (wind farm polygons, cables, pipelines); partner GIS</t>
        </is>
      </c>
      <c r="E3" s="8" t="inlineStr">
        <is>
          <t>https://emodnet.ec.europa.eu/en/human-activities</t>
        </is>
      </c>
      <c r="F3" s="8" t="inlineStr">
        <is>
          <t>https://maritime-spatial-planning.ec.europa.eu</t>
        </is>
      </c>
    </row>
    <row r="4">
      <c r="A4" s="7" t="inlineStr">
        <is>
          <t>Grid connection point</t>
        </is>
      </c>
      <c r="B4" s="7" t="inlineStr">
        <is>
          <t>lat, lon</t>
        </is>
      </c>
      <c r="C4" s="7" t="inlineStr">
        <is>
          <t>Sets the export route length, and through it the usable AC ratings and the AC or HVDC choice</t>
        </is>
      </c>
      <c r="D4" s="7" t="inlineStr">
        <is>
          <t>Your TSO's connection studies; OpenInfraMap (OpenStreetMap data, ODbL); ENTSO-E grid map (positions are schematic)</t>
        </is>
      </c>
      <c r="E4" s="8" t="inlineStr">
        <is>
          <t>https://openinframap.org</t>
        </is>
      </c>
      <c r="F4" s="8" t="inlineStr">
        <is>
          <t>https://www.entsoe.eu/data/map/</t>
        </is>
      </c>
    </row>
    <row r="5">
      <c r="A5" s="7" t="inlineStr">
        <is>
          <t>Export cable and pipeline route lengths</t>
        </is>
      </c>
      <c r="B5" s="7" t="inlineStr">
        <is>
          <t>km</t>
        </is>
      </c>
      <c r="C5" s="7" t="inlineStr">
        <is>
          <t>Computed by the app from the coordinates: shortest sea route on the bundled 1 km coastline (default) or straight line × routing factor. An entered length overrides both</t>
        </is>
      </c>
      <c r="D5" s="7" t="inlineStr">
        <is>
          <t>TSO or developer route studies (e.g. RTE for Bretagne Sud) when you have them</t>
        </is>
      </c>
      <c r="E5" s="7" t="inlineStr"/>
      <c r="F5" s="7" t="inlineStr"/>
    </row>
    <row r="6">
      <c r="A6" s="7" t="inlineStr">
        <is>
          <t>Hydrogen offtake or network point</t>
        </is>
      </c>
      <c r="B6" s="7" t="inlineStr">
        <is>
          <t>lat, lon</t>
        </is>
      </c>
      <c r="C6" s="7" t="inlineStr">
        <is>
          <t>Sets the pipeline length</t>
        </is>
      </c>
      <c r="D6" s="7" t="inlineStr">
        <is>
          <t>European Hydrogen Backbone maps (2030 and 2040 routes); ENTSOG TYNDP 2024 hydrogen project maps and lists</t>
        </is>
      </c>
      <c r="E6" s="8" t="inlineStr">
        <is>
          <t>https://ehb.eu/page/european-hydrogen-backbone-maps</t>
        </is>
      </c>
      <c r="F6" s="8" t="inlineStr">
        <is>
          <t>https://www.entsog.eu/tyndp</t>
        </is>
      </c>
    </row>
    <row r="7">
      <c r="A7" s="7" t="inlineStr">
        <is>
          <t>Nearby offshore substation or export cable (hub)</t>
        </is>
      </c>
      <c r="B7" s="7" t="inlineStr">
        <is>
          <t>lat, lon, MW, kV, EUR/MW/yr</t>
        </is>
      </c>
      <c r="C7" s="7" t="inlineStr">
        <is>
          <t>Lets the island connect with a short cable instead of its own link to shore; spare capacity caps the export</t>
        </is>
      </c>
      <c r="D7" s="7" t="inlineStr">
        <is>
          <t>EMODnet Human Activities (power cables, wind farms); the TSO or wind farm owner for spare capacity, voltage and fee</t>
        </is>
      </c>
      <c r="E7" s="8" t="inlineStr">
        <is>
          <t>https://emodnet.ec.europa.eu/en/human-activities</t>
        </is>
      </c>
      <c r="F7" s="8" t="inlineStr">
        <is>
          <t>https://www.entsoe.eu/data/map/</t>
        </is>
      </c>
    </row>
    <row r="8">
      <c r="A8" s="7" t="inlineStr">
        <is>
          <t>Nearby pipeline for a tie-in</t>
        </is>
      </c>
      <c r="B8" s="7" t="inlineStr">
        <is>
          <t>lat, lon, kg/h, bar, EUR</t>
        </is>
      </c>
      <c r="C8" s="7" t="inlineStr">
        <is>
          <t>Lets hydrogen leave through a short spur pipeline; spare capacity caps the flow, the pressure sets compression</t>
        </is>
      </c>
      <c r="D8" s="7" t="inlineStr">
        <is>
          <t>ENTSOG TYNDP maps and project lists; EMODnet pipelines; the gas or hydrogen network operator</t>
        </is>
      </c>
      <c r="E8" s="8" t="inlineStr">
        <is>
          <t>https://www.entsog.eu/tyndp</t>
        </is>
      </c>
      <c r="F8" s="8" t="inlineStr">
        <is>
          <t>https://emodnet.ec.europa.eu/en/human-activities</t>
        </is>
      </c>
    </row>
    <row r="9">
      <c r="A9" s="7" t="inlineStr">
        <is>
          <t>Existing gas pipeline that could be repurposed</t>
        </is>
      </c>
      <c r="B9" s="7" t="inlineStr">
        <is>
          <t>yes/no</t>
        </is>
      </c>
      <c r="C9" s="7" t="inlineStr">
        <is>
          <t>Allows the cheaper repurposed pipeline class</t>
        </is>
      </c>
      <c r="D9" s="7" t="inlineStr">
        <is>
          <t>ENTSOG maps; EMODnet Human Activities (pipelines)</t>
        </is>
      </c>
      <c r="E9" s="8" t="inlineStr">
        <is>
          <t>https://www.entsog.eu/tyndp</t>
        </is>
      </c>
      <c r="F9" s="7" t="inlineStr"/>
    </row>
    <row r="10">
      <c r="A10" s="7" t="inlineStr">
        <is>
          <t>Protected areas to avoid</t>
        </is>
      </c>
      <c r="B10" s="7" t="inlineStr">
        <is>
          <t>map</t>
        </is>
      </c>
      <c r="C10" s="7" t="inlineStr">
        <is>
          <t>Not modelled; check before fixing the site and routes</t>
        </is>
      </c>
      <c r="D10" s="7" t="inlineStr">
        <is>
          <t>Natura 2000 viewer (EEA)</t>
        </is>
      </c>
      <c r="E10" s="8" t="inlineStr">
        <is>
          <t>https://natura2000.eea.europa.eu</t>
        </is>
      </c>
      <c r="F10" s="7" t="inlineStr"/>
    </row>
    <row r="11">
      <c r="A11" s="7" t="inlineStr">
        <is>
          <t>Shipping density</t>
        </is>
      </c>
      <c r="B11" s="7" t="inlineStr">
        <is>
          <t>map</t>
        </is>
      </c>
      <c r="C11" s="7" t="inlineStr">
        <is>
          <t>Not modelled; check route conflicts</t>
        </is>
      </c>
      <c r="D11" s="7" t="inlineStr">
        <is>
          <t>EMODnet vessel density (1 km grid, monthly, from 2017)</t>
        </is>
      </c>
      <c r="E11" s="8" t="inlineStr">
        <is>
          <t>https://emodnet.ec.europa.eu/en/human-activities</t>
        </is>
      </c>
      <c r="F11" s="7" t="inlineStr"/>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6" r:id="rId7"/>
    <hyperlink xmlns:r="http://schemas.openxmlformats.org/officeDocument/2006/relationships" ref="F6" r:id="rId8"/>
    <hyperlink xmlns:r="http://schemas.openxmlformats.org/officeDocument/2006/relationships" ref="E7" r:id="rId9"/>
    <hyperlink xmlns:r="http://schemas.openxmlformats.org/officeDocument/2006/relationships" ref="F7" r:id="rId10"/>
    <hyperlink xmlns:r="http://schemas.openxmlformats.org/officeDocument/2006/relationships" ref="E8" r:id="rId11"/>
    <hyperlink xmlns:r="http://schemas.openxmlformats.org/officeDocument/2006/relationships" ref="F8" r:id="rId12"/>
    <hyperlink xmlns:r="http://schemas.openxmlformats.org/officeDocument/2006/relationships" ref="E9" r:id="rId13"/>
    <hyperlink xmlns:r="http://schemas.openxmlformats.org/officeDocument/2006/relationships" ref="E10" r:id="rId14"/>
    <hyperlink xmlns:r="http://schemas.openxmlformats.org/officeDocument/2006/relationships" ref="E11" r:id="rId1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3" topLeftCell="A4" activePane="bottomLeft" state="frozen"/>
      <selection pane="bottomLeft" activeCell="A1" sqref="A1"/>
    </sheetView>
  </sheetViews>
  <sheetFormatPr baseColWidth="8" defaultRowHeight="15"/>
  <cols>
    <col width="34" customWidth="1" min="1" max="1"/>
    <col width="40" customWidth="1" min="2" max="2"/>
    <col width="22" customWidth="1" min="3" max="3"/>
    <col width="24" customWidth="1" min="4" max="4"/>
    <col width="28" customWidth="1" min="5" max="5"/>
    <col width="40" customWidth="1" min="6" max="6"/>
    <col width="40" customWidth="1" min="7" max="7"/>
    <col width="20" customWidth="1" min="8" max="8"/>
    <col width="52" customWidth="1" min="9" max="9"/>
    <col width="14" customWidth="1" min="10" max="10"/>
  </cols>
  <sheetData>
    <row r="1" ht="42" customHeight="1">
      <c r="A1" s="5" t="inlineStr">
        <is>
          <t>'checked' = seen on the service's official page on 8 October 2026. 'partly checked' = some facts in the row could not be opened and are from secondary sources. Licences and limits change: check before publishing results.</t>
        </is>
      </c>
    </row>
    <row r="3">
      <c r="A3" s="6" t="inlineStr">
        <is>
          <t>Source</t>
        </is>
      </c>
      <c r="B3" s="6" t="inlineStr">
        <is>
          <t>Provides</t>
        </is>
      </c>
      <c r="C3" s="6" t="inlineStr">
        <is>
          <t>Time step</t>
        </is>
      </c>
      <c r="D3" s="6" t="inlineStr">
        <is>
          <t>Spatial resolution</t>
        </is>
      </c>
      <c r="E3" s="6" t="inlineStr">
        <is>
          <t>Coverage</t>
        </is>
      </c>
      <c r="F3" s="6" t="inlineStr">
        <is>
          <t>Access</t>
        </is>
      </c>
      <c r="G3" s="6" t="inlineStr">
        <is>
          <t>Licence</t>
        </is>
      </c>
      <c r="H3" s="6" t="inlineStr">
        <is>
          <t>Formats</t>
        </is>
      </c>
      <c r="I3" s="6" t="inlineStr">
        <is>
          <t>Link</t>
        </is>
      </c>
      <c r="J3" s="6" t="inlineStr">
        <is>
          <t>Checked on 8 Oct 2026</t>
        </is>
      </c>
    </row>
    <row r="4">
      <c r="A4" s="7" t="inlineStr">
        <is>
          <t>Open-Meteo historical weather API (ERA5)</t>
        </is>
      </c>
      <c r="B4" s="7" t="inlineStr">
        <is>
          <t>Wind speed at 10 and 100 m, irradiance, temperature</t>
        </is>
      </c>
      <c r="C4" s="7" t="inlineStr">
        <is>
          <t>Hourly</t>
        </is>
      </c>
      <c r="D4" s="7" t="inlineStr">
        <is>
          <t>ERA5 0.25° (~25 km); ERA5-Land 0.1° (no 100 m wind)</t>
        </is>
      </c>
      <c r="E4" s="7" t="inlineStr">
        <is>
          <t>ERA5 from 1940, about 5 days behind</t>
        </is>
      </c>
      <c r="F4" s="7" t="inlineStr">
        <is>
          <t>No key for non-commercial use (10,000 calls/day); commercial use needs a paid plan</t>
        </is>
      </c>
      <c r="G4" s="7" t="inlineStr">
        <is>
          <t>CC BY 4.0</t>
        </is>
      </c>
      <c r="H4" s="7" t="inlineStr">
        <is>
          <t>JSON, CSV, XLSX</t>
        </is>
      </c>
      <c r="I4" s="8" t="inlineStr">
        <is>
          <t>https://open-meteo.com/en/docs/historical-weather-api</t>
        </is>
      </c>
      <c r="J4" s="7" t="inlineStr">
        <is>
          <t>checked</t>
        </is>
      </c>
    </row>
    <row r="5">
      <c r="A5" s="7" t="inlineStr">
        <is>
          <t>Copernicus CDS: ERA5 hourly single levels</t>
        </is>
      </c>
      <c r="B5" s="7" t="inlineStr">
        <is>
          <t>u/v wind at 100 m, radiation, temperature</t>
        </is>
      </c>
      <c r="C5" s="7" t="inlineStr">
        <is>
          <t>Hourly</t>
        </is>
      </c>
      <c r="D5" s="7" t="inlineStr">
        <is>
          <t>0.25°</t>
        </is>
      </c>
      <c r="E5" s="7" t="inlineStr">
        <is>
          <t>1940 to present</t>
        </is>
      </c>
      <c r="F5" s="7" t="inlineStr">
        <is>
          <t>Free account; accept the dataset terms; API token in ~/.cdsapirc</t>
        </is>
      </c>
      <c r="G5" s="7" t="inlineStr">
        <is>
          <t>CC BY</t>
        </is>
      </c>
      <c r="H5" s="7" t="inlineStr">
        <is>
          <t>GRIB, NetCDF</t>
        </is>
      </c>
      <c r="I5" s="8" t="inlineStr">
        <is>
          <t>https://cds.climate.copernicus.eu/datasets/reanalysis-era5-single-levels</t>
        </is>
      </c>
      <c r="J5" s="7" t="inlineStr">
        <is>
          <t>checked</t>
        </is>
      </c>
    </row>
    <row r="6">
      <c r="A6" s="7" t="inlineStr">
        <is>
          <t>Renewables.ninja</t>
        </is>
      </c>
      <c r="B6" s="7" t="inlineStr">
        <is>
          <t>Simulated hourly wind and PV output per point</t>
        </is>
      </c>
      <c r="C6" s="7" t="inlineStr">
        <is>
          <t>Hourly</t>
        </is>
      </c>
      <c r="D6" s="7" t="inlineStr">
        <is>
          <t>MERRA-2 0.625° × 0.5°; SARAH 0.05°</t>
        </is>
      </c>
      <c r="E6" s="7" t="inlineStr">
        <is>
          <t>Years per dataset not confirmed</t>
        </is>
      </c>
      <c r="F6" s="7" t="inlineStr">
        <is>
          <t>Free account and token; 50 requests/hour</t>
        </is>
      </c>
      <c r="G6" s="7" t="inlineStr">
        <is>
          <t>CC BY-NC 4.0 (commercial use: ask)</t>
        </is>
      </c>
      <c r="H6" s="7" t="inlineStr">
        <is>
          <t>CSV, JSON</t>
        </is>
      </c>
      <c r="I6" s="8" t="inlineStr">
        <is>
          <t>https://www.renewables.ninja</t>
        </is>
      </c>
      <c r="J6" s="7" t="inlineStr">
        <is>
          <t>checked</t>
        </is>
      </c>
    </row>
    <row r="7">
      <c r="A7" s="7" t="inlineStr">
        <is>
          <t>PVGIS 5.3 (EU JRC)</t>
        </is>
      </c>
      <c r="B7" s="7" t="inlineStr">
        <is>
          <t>Hourly irradiance and PV output</t>
        </is>
      </c>
      <c r="C7" s="7" t="inlineStr">
        <is>
          <t>Hourly</t>
        </is>
      </c>
      <c r="D7" s="7" t="inlineStr">
        <is>
          <t>SARAH-3 ~4 km; ERA5 ~30 km</t>
        </is>
      </c>
      <c r="E7" s="7" t="inlineStr">
        <is>
          <t>2005–2023; coastline + 25 km offshore</t>
        </is>
      </c>
      <c r="F7" s="7" t="inlineStr">
        <is>
          <t>Free, no key</t>
        </is>
      </c>
      <c r="G7" s="7" t="inlineStr">
        <is>
          <t>not stated</t>
        </is>
      </c>
      <c r="H7" s="7" t="inlineStr">
        <is>
          <t>CSV, JSON</t>
        </is>
      </c>
      <c r="I7" s="8" t="inlineStr">
        <is>
          <t>https://re.jrc.ec.europa.eu/pvg_tools/en/</t>
        </is>
      </c>
      <c r="J7" s="7" t="inlineStr">
        <is>
          <t>partly checked</t>
        </is>
      </c>
    </row>
    <row r="8">
      <c r="A8" s="7" t="inlineStr">
        <is>
          <t>New European Wind Atlas (NEWA)</t>
        </is>
      </c>
      <c r="B8" s="7" t="inlineStr">
        <is>
          <t>Mesoscale wind time series</t>
        </is>
      </c>
      <c r="C8" s="7" t="inlineStr">
        <is>
          <t>30 minutes</t>
        </is>
      </c>
      <c r="D8" s="7" t="inlineStr">
        <is>
          <t>3 km</t>
        </is>
      </c>
      <c r="E8" s="7" t="inlineStr">
        <is>
          <t>Model run 1989–2018</t>
        </is>
      </c>
      <c r="F8" s="7" t="inlineStr">
        <is>
          <t>Free</t>
        </is>
      </c>
      <c r="G8" s="7" t="inlineStr">
        <is>
          <t>not found</t>
        </is>
      </c>
      <c r="H8" s="7" t="inlineStr">
        <is>
          <t>NetCDF</t>
        </is>
      </c>
      <c r="I8" s="8" t="inlineStr">
        <is>
          <t>https://map.neweuropeanwindatlas.eu</t>
        </is>
      </c>
      <c r="J8" s="7" t="inlineStr">
        <is>
          <t>partly checked</t>
        </is>
      </c>
    </row>
    <row r="9">
      <c r="A9" s="7" t="inlineStr">
        <is>
          <t>Global Wind Atlas 3</t>
        </is>
      </c>
      <c r="B9" s="7" t="inlineStr">
        <is>
          <t>Long-term mean wind and capacity factors (not a time series)</t>
        </is>
      </c>
      <c r="C9" s="7" t="inlineStr">
        <is>
          <t>Long-term mean</t>
        </is>
      </c>
      <c r="D9" s="7" t="inlineStr">
        <is>
          <t>250 m</t>
        </is>
      </c>
      <c r="E9" s="7" t="inlineStr">
        <is>
          <t>Based on ERA5 2008–2017</t>
        </is>
      </c>
      <c r="F9" s="7" t="inlineStr">
        <is>
          <t>Free</t>
        </is>
      </c>
      <c r="G9" s="7" t="inlineStr">
        <is>
          <t>CC BY 4.0</t>
        </is>
      </c>
      <c r="H9" s="7" t="inlineStr">
        <is>
          <t>GeoTIFF</t>
        </is>
      </c>
      <c r="I9" s="8" t="inlineStr">
        <is>
          <t>https://globalwindatlas.info</t>
        </is>
      </c>
      <c r="J9" s="7" t="inlineStr">
        <is>
          <t>checked</t>
        </is>
      </c>
    </row>
    <row r="10">
      <c r="A10" s="7" t="inlineStr">
        <is>
          <t>Energy-Charts API (Fraunhofer ISE)</t>
        </is>
      </c>
      <c r="B10" s="7" t="inlineStr">
        <is>
          <t>Day-ahead prices by bidding zone</t>
        </is>
      </c>
      <c r="C10" s="7" t="inlineStr">
        <is>
          <t>15 minutes (hourly before Oct 2025)</t>
        </is>
      </c>
      <c r="D10" s="7" t="inlineStr">
        <is>
          <t>Bidding zone</t>
        </is>
      </c>
      <c r="E10" s="7" t="inlineStr">
        <is>
          <t>Several years</t>
        </is>
      </c>
      <c r="F10" s="7" t="inlineStr">
        <is>
          <t>No key; 2 requests/minute</t>
        </is>
      </c>
      <c r="G10" s="7" t="inlineStr">
        <is>
          <t>CC BY 4.0 for AT, BE, CH, CZ, DE-LU, DK1, DK2, FR, HU, IT-North, NL, NO2, PL, SE4, SI; other zones private use only</t>
        </is>
      </c>
      <c r="H10" s="7" t="inlineStr">
        <is>
          <t>JSON</t>
        </is>
      </c>
      <c r="I10" s="8" t="inlineStr">
        <is>
          <t>https://api.energy-charts.info</t>
        </is>
      </c>
      <c r="J10" s="7" t="inlineStr">
        <is>
          <t>checked</t>
        </is>
      </c>
    </row>
    <row r="11">
      <c r="A11" s="7" t="inlineStr">
        <is>
          <t>ENTSO-E Transparency Platform</t>
        </is>
      </c>
      <c r="B11" s="7" t="inlineStr">
        <is>
          <t>Day-ahead prices, actual total load</t>
        </is>
      </c>
      <c r="C11" s="7" t="inlineStr">
        <is>
          <t>15 minutes from 1 Oct 2025, hourly before</t>
        </is>
      </c>
      <c r="D11" s="7" t="inlineStr">
        <is>
          <t>Bidding zone / country</t>
        </is>
      </c>
      <c r="E11" s="7" t="inlineStr">
        <is>
          <t>From 2015</t>
        </is>
      </c>
      <c r="F11" s="7" t="inlineStr">
        <is>
          <t>Free account; API token by email request (within 3 working days)</t>
        </is>
      </c>
      <c r="G11" s="7" t="inlineStr">
        <is>
          <t>not found</t>
        </is>
      </c>
      <c r="H11" s="7" t="inlineStr">
        <is>
          <t>XML (API), CSV/XLSX (web)</t>
        </is>
      </c>
      <c r="I11" s="8" t="inlineStr">
        <is>
          <t>https://transparency.entsoe.eu</t>
        </is>
      </c>
      <c r="J11" s="7" t="inlineStr">
        <is>
          <t>partly checked</t>
        </is>
      </c>
    </row>
    <row r="12">
      <c r="A12" s="7" t="inlineStr">
        <is>
          <t>Energi Data Service (Energinet)</t>
        </is>
      </c>
      <c r="B12" s="7" t="inlineStr">
        <is>
          <t>Day-ahead prices DK1, DK2 and neighbours</t>
        </is>
      </c>
      <c r="C12" s="7" t="inlineStr">
        <is>
          <t>15 minutes from 1 Oct 2025; older hourly dataset 'Elspotprices' to Sep 2025</t>
        </is>
      </c>
      <c r="D12" s="7" t="inlineStr">
        <is>
          <t>Bidding zone</t>
        </is>
      </c>
      <c r="E12" s="7" t="inlineStr">
        <is>
          <t>1999 onwards</t>
        </is>
      </c>
      <c r="F12" s="7" t="inlineStr">
        <is>
          <t>Free, no key</t>
        </is>
      </c>
      <c r="G12" s="7" t="inlineStr">
        <is>
          <t>CC BY 4.0</t>
        </is>
      </c>
      <c r="H12" s="7" t="inlineStr">
        <is>
          <t>JSON, CSV, Excel</t>
        </is>
      </c>
      <c r="I12" s="8" t="inlineStr">
        <is>
          <t>https://www.energidataservice.dk/tso-electricity/DayAheadPrices</t>
        </is>
      </c>
      <c r="J12" s="7" t="inlineStr">
        <is>
          <t>checked</t>
        </is>
      </c>
    </row>
    <row r="13">
      <c r="A13" s="7" t="inlineStr">
        <is>
          <t>RTE éCO2mix via ODRÉ (France)</t>
        </is>
      </c>
      <c r="B13" s="7" t="inlineStr">
        <is>
          <t>National consumption</t>
        </is>
      </c>
      <c r="C13" s="7" t="inlineStr">
        <is>
          <t>30 minutes (definitive data)</t>
        </is>
      </c>
      <c r="D13" s="7" t="inlineStr">
        <is>
          <t>France</t>
        </is>
      </c>
      <c r="E13" s="7" t="inlineStr">
        <is>
          <t>2012–2024 definitive; newer consolidated</t>
        </is>
      </c>
      <c r="F13" s="7" t="inlineStr">
        <is>
          <t>Free</t>
        </is>
      </c>
      <c r="G13" s="7" t="inlineStr">
        <is>
          <t>Licence Ouverte 2.0 (not checked)</t>
        </is>
      </c>
      <c r="H13" s="7" t="inlineStr">
        <is>
          <t>CSV, JSON, Excel</t>
        </is>
      </c>
      <c r="I13" s="8" t="inlineStr">
        <is>
          <t>https://odre.opendatasoft.com</t>
        </is>
      </c>
      <c r="J13" s="7" t="inlineStr">
        <is>
          <t>partly checked</t>
        </is>
      </c>
    </row>
    <row r="14">
      <c r="A14" s="7" t="inlineStr">
        <is>
          <t>Open Power System Data: time series</t>
        </is>
      </c>
      <c r="B14" s="7" t="inlineStr">
        <is>
          <t>Load, prices, wind and solar profiles</t>
        </is>
      </c>
      <c r="C14" s="7" t="inlineStr">
        <is>
          <t>15/30/60 minutes</t>
        </is>
      </c>
      <c r="D14" s="7" t="inlineStr">
        <is>
          <t>32 countries</t>
        </is>
      </c>
      <c r="E14" s="7" t="inlineStr">
        <is>
          <t>2015 to mid-2020 (last release 2020-10-06)</t>
        </is>
      </c>
      <c r="F14" s="7" t="inlineStr">
        <is>
          <t>Free</t>
        </is>
      </c>
      <c r="G14" s="7" t="inlineStr">
        <is>
          <t>Mixed by original source</t>
        </is>
      </c>
      <c r="H14" s="7" t="inlineStr">
        <is>
          <t>CSV, XLSX, SQLite</t>
        </is>
      </c>
      <c r="I14" s="8" t="inlineStr">
        <is>
          <t>https://data.open-power-system-data.org/time_series/</t>
        </is>
      </c>
      <c r="J14" s="7" t="inlineStr">
        <is>
          <t>checked</t>
        </is>
      </c>
    </row>
    <row r="15">
      <c r="A15" s="7" t="inlineStr">
        <is>
          <t>EMODnet Bathymetry DTM 2024</t>
        </is>
      </c>
      <c r="B15" s="7" t="inlineStr">
        <is>
          <t>Water depth</t>
        </is>
      </c>
      <c r="C15" s="7" t="inlineStr">
        <is>
          <t>—</t>
        </is>
      </c>
      <c r="D15" s="7" t="inlineStr">
        <is>
          <t>1/16 arc-minute (~115 m)</t>
        </is>
      </c>
      <c r="E15" s="7" t="inlineStr">
        <is>
          <t>European seas</t>
        </is>
      </c>
      <c r="F15" s="7" t="inlineStr">
        <is>
          <t>Free</t>
        </is>
      </c>
      <c r="G15" s="7" t="inlineStr">
        <is>
          <t>Unrestricted, acknowledgement requested</t>
        </is>
      </c>
      <c r="H15" s="7" t="inlineStr">
        <is>
          <t>GeoTIFF, NetCDF, CSV and more</t>
        </is>
      </c>
      <c r="I15" s="8" t="inlineStr">
        <is>
          <t>https://emodnet.ec.europa.eu/geoviewer/</t>
        </is>
      </c>
      <c r="J15" s="7" t="inlineStr">
        <is>
          <t>checked</t>
        </is>
      </c>
    </row>
    <row r="16">
      <c r="A16" s="7" t="inlineStr">
        <is>
          <t>GEBCO_2026 grid</t>
        </is>
      </c>
      <c r="B16" s="7" t="inlineStr">
        <is>
          <t>Water depth and elevation</t>
        </is>
      </c>
      <c r="C16" s="7" t="inlineStr">
        <is>
          <t>—</t>
        </is>
      </c>
      <c r="D16" s="7" t="inlineStr">
        <is>
          <t>15 arc-second</t>
        </is>
      </c>
      <c r="E16" s="7" t="inlineStr">
        <is>
          <t>Global</t>
        </is>
      </c>
      <c r="F16" s="7" t="inlineStr">
        <is>
          <t>Free</t>
        </is>
      </c>
      <c r="G16" s="7" t="inlineStr">
        <is>
          <t>Public domain</t>
        </is>
      </c>
      <c r="H16" s="7" t="inlineStr">
        <is>
          <t>NetCDF, GeoTIFF, Esri ASCII</t>
        </is>
      </c>
      <c r="I16" s="8" t="inlineStr">
        <is>
          <t>https://download.gebco.net</t>
        </is>
      </c>
      <c r="J16" s="7" t="inlineStr">
        <is>
          <t>checked</t>
        </is>
      </c>
    </row>
    <row r="17">
      <c r="A17" s="7" t="inlineStr">
        <is>
          <t>EMODnet Human Activities</t>
        </is>
      </c>
      <c r="B17" s="7" t="inlineStr">
        <is>
          <t>Cables, pipelines, wind farms, vessel density</t>
        </is>
      </c>
      <c r="C17" s="7" t="inlineStr">
        <is>
          <t>Vessel density monthly</t>
        </is>
      </c>
      <c r="D17" s="7" t="inlineStr">
        <is>
          <t>1 km (density)</t>
        </is>
      </c>
      <c r="E17" s="7" t="inlineStr">
        <is>
          <t>European seas; density from 2017</t>
        </is>
      </c>
      <c r="F17" s="7" t="inlineStr">
        <is>
          <t>Free</t>
        </is>
      </c>
      <c r="G17" s="7" t="inlineStr">
        <is>
          <t>not checked</t>
        </is>
      </c>
      <c r="H17" s="7" t="inlineStr">
        <is>
          <t>TIFF, WMS, shapefile</t>
        </is>
      </c>
      <c r="I17" s="8" t="inlineStr">
        <is>
          <t>https://emodnet.ec.europa.eu/en/human-activities</t>
        </is>
      </c>
      <c r="J17" s="7" t="inlineStr">
        <is>
          <t>checked</t>
        </is>
      </c>
    </row>
    <row r="18">
      <c r="A18" s="7" t="inlineStr">
        <is>
          <t>Natura 2000 (EEA)</t>
        </is>
      </c>
      <c r="B18" s="7" t="inlineStr">
        <is>
          <t>Protected sites</t>
        </is>
      </c>
      <c r="C18" s="7" t="inlineStr">
        <is>
          <t>—</t>
        </is>
      </c>
      <c r="D18" s="7" t="inlineStr">
        <is>
          <t>Site polygons</t>
        </is>
      </c>
      <c r="E18" s="7" t="inlineStr">
        <is>
          <t>End-2024 version</t>
        </is>
      </c>
      <c r="F18" s="7" t="inlineStr">
        <is>
          <t>Free</t>
        </is>
      </c>
      <c r="G18" s="7" t="inlineStr">
        <is>
          <t>CC BY 4.0</t>
        </is>
      </c>
      <c r="H18" s="7" t="inlineStr">
        <is>
          <t>SHP, GeoPackage, WMS</t>
        </is>
      </c>
      <c r="I18" s="8" t="inlineStr">
        <is>
          <t>https://natura2000.eea.europa.eu</t>
        </is>
      </c>
      <c r="J18" s="7" t="inlineStr">
        <is>
          <t>checked</t>
        </is>
      </c>
    </row>
    <row r="19">
      <c r="A19" s="7" t="inlineStr">
        <is>
          <t>European Hydrogen Backbone maps</t>
        </is>
      </c>
      <c r="B19" s="7" t="inlineStr">
        <is>
          <t>Planned hydrogen routes 2030 and 2040</t>
        </is>
      </c>
      <c r="C19" s="7" t="inlineStr">
        <is>
          <t>—</t>
        </is>
      </c>
      <c r="D19" s="7" t="inlineStr">
        <is>
          <t>Map</t>
        </is>
      </c>
      <c r="E19" s="7" t="inlineStr">
        <is>
          <t>Pathway to 2040</t>
        </is>
      </c>
      <c r="F19" s="7" t="inlineStr">
        <is>
          <t>Free to view; shapefiles only with written permission</t>
        </is>
      </c>
      <c r="G19" s="7" t="inlineStr">
        <is>
          <t>Copyrighted</t>
        </is>
      </c>
      <c r="H19" s="7" t="inlineStr">
        <is>
          <t>PDF, web map</t>
        </is>
      </c>
      <c r="I19" s="8" t="inlineStr">
        <is>
          <t>https://ehb.eu/page/european-hydrogen-backbone-maps</t>
        </is>
      </c>
      <c r="J19" s="7" t="inlineStr">
        <is>
          <t>checked</t>
        </is>
      </c>
    </row>
    <row r="20">
      <c r="A20" s="7" t="inlineStr">
        <is>
          <t>ENTSOG TYNDP 2024</t>
        </is>
      </c>
      <c r="B20" s="7" t="inlineStr">
        <is>
          <t>Hydrogen projects, capacities, maps</t>
        </is>
      </c>
      <c r="C20" s="7" t="inlineStr">
        <is>
          <t>—</t>
        </is>
      </c>
      <c r="D20" s="7" t="inlineStr">
        <is>
          <t>Project level</t>
        </is>
      </c>
      <c r="E20" s="7" t="inlineStr">
        <is>
          <t>Final 18 Mar 2026</t>
        </is>
      </c>
      <c r="F20" s="7" t="inlineStr">
        <is>
          <t>Free</t>
        </is>
      </c>
      <c r="G20" s="7" t="inlineStr">
        <is>
          <t>not checked</t>
        </is>
      </c>
      <c r="H20" s="7" t="inlineStr">
        <is>
          <t>PDF, XLSX annexes, dashboards</t>
        </is>
      </c>
      <c r="I20" s="8" t="inlineStr">
        <is>
          <t>https://www.entsog.eu/tyndp</t>
        </is>
      </c>
      <c r="J20" s="7" t="inlineStr">
        <is>
          <t>checked</t>
        </is>
      </c>
    </row>
    <row r="21">
      <c r="A21" s="7" t="inlineStr">
        <is>
          <t>OpenInfraMap</t>
        </is>
      </c>
      <c r="B21" s="7" t="inlineStr">
        <is>
          <t>Power lines, substations, pipelines</t>
        </is>
      </c>
      <c r="C21" s="7" t="inlineStr">
        <is>
          <t>—</t>
        </is>
      </c>
      <c r="D21" s="7" t="inlineStr">
        <is>
          <t>OpenStreetMap detail</t>
        </is>
      </c>
      <c r="E21" s="7" t="inlineStr">
        <is>
          <t>Global</t>
        </is>
      </c>
      <c r="F21" s="7" t="inlineStr">
        <is>
          <t>Free</t>
        </is>
      </c>
      <c r="G21" s="7" t="inlineStr">
        <is>
          <t>ODbL</t>
        </is>
      </c>
      <c r="H21" s="7" t="inlineStr">
        <is>
          <t>Web map; extracts via Overpass</t>
        </is>
      </c>
      <c r="I21" s="8" t="inlineStr">
        <is>
          <t>https://openinframap.org</t>
        </is>
      </c>
      <c r="J21" s="7" t="inlineStr">
        <is>
          <t>checked</t>
        </is>
      </c>
    </row>
    <row r="22">
      <c r="A22" s="7" t="inlineStr">
        <is>
          <t>Danish Energy Agency technology catalogues</t>
        </is>
      </c>
      <c r="B22" s="7" t="inlineStr">
        <is>
          <t>Costs and performance of generation, fuels, storage</t>
        </is>
      </c>
      <c r="C22" s="7" t="inlineStr">
        <is>
          <t>—</t>
        </is>
      </c>
      <c r="D22" s="7" t="inlineStr">
        <is>
          <t>Technology level</t>
        </is>
      </c>
      <c r="E22" s="7" t="inlineStr">
        <is>
          <t>El &amp; DH June 2026; renewable fuels Feb 2026; storage Apr 2024</t>
        </is>
      </c>
      <c r="F22" s="7" t="inlineStr">
        <is>
          <t>Free</t>
        </is>
      </c>
      <c r="G22" s="7" t="inlineStr">
        <is>
          <t>not checked</t>
        </is>
      </c>
      <c r="H22" s="7" t="inlineStr">
        <is>
          <t>XLSX data sheets</t>
        </is>
      </c>
      <c r="I22" s="8" t="inlineStr">
        <is>
          <t>https://ens.dk/en/analyses-and-statistics/technology-data-generation-electricity-and-district-heating</t>
        </is>
      </c>
      <c r="J22" s="7" t="inlineStr">
        <is>
          <t>checked</t>
        </is>
      </c>
    </row>
    <row r="23">
      <c r="A23" s="7" t="inlineStr">
        <is>
          <t>NLR (formerly NREL) Annual Technology Baseline 2025</t>
        </is>
      </c>
      <c r="B23" s="7" t="inlineStr">
        <is>
          <t>Cost projections incl. fixed and floating offshore wind</t>
        </is>
      </c>
      <c r="C23" s="7" t="inlineStr">
        <is>
          <t>—</t>
        </is>
      </c>
      <c r="D23" s="7" t="inlineStr">
        <is>
          <t>Technology level</t>
        </is>
      </c>
      <c r="E23" s="7" t="inlineStr">
        <is>
          <t>2025 edition</t>
        </is>
      </c>
      <c r="F23" s="7" t="inlineStr">
        <is>
          <t>Free</t>
        </is>
      </c>
      <c r="G23" s="7" t="inlineStr">
        <is>
          <t>Disclaimer only</t>
        </is>
      </c>
      <c r="H23" s="7" t="inlineStr">
        <is>
          <t>XLSX, CSV, Parquet</t>
        </is>
      </c>
      <c r="I23" s="8" t="inlineStr">
        <is>
          <t>https://atb.nlr.gov/electricity/2025/data</t>
        </is>
      </c>
      <c r="J23" s="7" t="inlineStr">
        <is>
          <t>checked</t>
        </is>
      </c>
    </row>
    <row r="24">
      <c r="A24" s="7" t="inlineStr">
        <is>
          <t>ACER unit investment cost indicators</t>
        </is>
      </c>
      <c r="B24" s="7" t="inlineStr">
        <is>
          <t>Unit costs of grid and hydrogen infrastructure</t>
        </is>
      </c>
      <c r="C24" s="7" t="inlineStr">
        <is>
          <t>—</t>
        </is>
      </c>
      <c r="D24" s="7" t="inlineStr">
        <is>
          <t>Asset class</t>
        </is>
      </c>
      <c r="E24" s="7" t="inlineStr">
        <is>
          <t>Report of 24 April 2026</t>
        </is>
      </c>
      <c r="F24" s="7" t="inlineStr">
        <is>
          <t>Free</t>
        </is>
      </c>
      <c r="G24" s="7" t="inlineStr">
        <is>
          <t>not checked</t>
        </is>
      </c>
      <c r="H24" s="7" t="inlineStr">
        <is>
          <t>PDF</t>
        </is>
      </c>
      <c r="I24" s="8" t="inlineStr">
        <is>
          <t>https://www.acer.europa.eu</t>
        </is>
      </c>
      <c r="J24" s="7" t="inlineStr">
        <is>
          <t>checked</t>
        </is>
      </c>
    </row>
    <row r="25">
      <c r="A25" s="7" t="inlineStr">
        <is>
          <t>IEA 15 MW reference turbine</t>
        </is>
      </c>
      <c r="B25" s="7" t="inlineStr">
        <is>
          <t>Power curve used by the built-in wind conversion</t>
        </is>
      </c>
      <c r="C25" s="7" t="inlineStr">
        <is>
          <t>—</t>
        </is>
      </c>
      <c r="D25" s="7" t="inlineStr">
        <is>
          <t>—</t>
        </is>
      </c>
      <c r="E25" s="7" t="inlineStr">
        <is>
          <t>—</t>
        </is>
      </c>
      <c r="F25" s="7" t="inlineStr">
        <is>
          <t>Free</t>
        </is>
      </c>
      <c r="G25" s="7" t="inlineStr">
        <is>
          <t>Open source</t>
        </is>
      </c>
      <c r="H25" s="7" t="inlineStr">
        <is>
          <t>CSV, YAML, XLSX</t>
        </is>
      </c>
      <c r="I25" s="8" t="inlineStr">
        <is>
          <t>https://github.com/IEAWindTask37/IEA-15-240-RWT</t>
        </is>
      </c>
      <c r="J25" s="7" t="inlineStr">
        <is>
          <t>checked</t>
        </is>
      </c>
    </row>
  </sheetData>
  <mergeCells count="1">
    <mergeCell ref="A1:J1"/>
  </mergeCells>
  <hyperlinks>
    <hyperlink xmlns:r="http://schemas.openxmlformats.org/officeDocument/2006/relationships" ref="I4"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 xmlns:r="http://schemas.openxmlformats.org/officeDocument/2006/relationships" ref="I9" r:id="rId6"/>
    <hyperlink xmlns:r="http://schemas.openxmlformats.org/officeDocument/2006/relationships" ref="I10" r:id="rId7"/>
    <hyperlink xmlns:r="http://schemas.openxmlformats.org/officeDocument/2006/relationships" ref="I11" r:id="rId8"/>
    <hyperlink xmlns:r="http://schemas.openxmlformats.org/officeDocument/2006/relationships" ref="I12" r:id="rId9"/>
    <hyperlink xmlns:r="http://schemas.openxmlformats.org/officeDocument/2006/relationships" ref="I13" r:id="rId10"/>
    <hyperlink xmlns:r="http://schemas.openxmlformats.org/officeDocument/2006/relationships" ref="I14" r:id="rId11"/>
    <hyperlink xmlns:r="http://schemas.openxmlformats.org/officeDocument/2006/relationships" ref="I15" r:id="rId12"/>
    <hyperlink xmlns:r="http://schemas.openxmlformats.org/officeDocument/2006/relationships" ref="I16" r:id="rId13"/>
    <hyperlink xmlns:r="http://schemas.openxmlformats.org/officeDocument/2006/relationships" ref="I17" r:id="rId14"/>
    <hyperlink xmlns:r="http://schemas.openxmlformats.org/officeDocument/2006/relationships" ref="I18" r:id="rId15"/>
    <hyperlink xmlns:r="http://schemas.openxmlformats.org/officeDocument/2006/relationships" ref="I19" r:id="rId16"/>
    <hyperlink xmlns:r="http://schemas.openxmlformats.org/officeDocument/2006/relationships" ref="I20" r:id="rId17"/>
    <hyperlink xmlns:r="http://schemas.openxmlformats.org/officeDocument/2006/relationships" ref="I21" r:id="rId18"/>
    <hyperlink xmlns:r="http://schemas.openxmlformats.org/officeDocument/2006/relationships" ref="I22" r:id="rId19"/>
    <hyperlink xmlns:r="http://schemas.openxmlformats.org/officeDocument/2006/relationships" ref="I23" r:id="rId20"/>
    <hyperlink xmlns:r="http://schemas.openxmlformats.org/officeDocument/2006/relationships" ref="I24" r:id="rId21"/>
    <hyperlink xmlns:r="http://schemas.openxmlformats.org/officeDocument/2006/relationships" ref="I25" r:id="rId2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22" customWidth="1" min="1" max="1"/>
    <col width="34" customWidth="1" min="2" max="2"/>
    <col width="44" customWidth="1" min="3" max="3"/>
    <col width="70" customWidth="1" min="4" max="4"/>
    <col width="18" customWidth="1" min="5" max="5"/>
    <col width="52" customWidth="1" min="6" max="6"/>
  </cols>
  <sheetData>
    <row r="1" ht="42" customHeight="1">
      <c r="A1" s="5" t="inlineStr">
        <is>
          <t>The app needs internet access for these buttons (Streamlit Community Cloud has it). Without it, upload the series instead.</t>
        </is>
      </c>
    </row>
    <row r="3">
      <c r="A3" s="6" t="inlineStr">
        <is>
          <t>Series</t>
        </is>
      </c>
      <c r="B3" s="6" t="inlineStr">
        <is>
          <t>Where in the app</t>
        </is>
      </c>
      <c r="C3" s="6" t="inlineStr">
        <is>
          <t>Service and query</t>
        </is>
      </c>
      <c r="D3" s="6" t="inlineStr">
        <is>
          <t>Conversion</t>
        </is>
      </c>
      <c r="E3" s="6" t="inlineStr">
        <is>
          <t>Resolution</t>
        </is>
      </c>
      <c r="F3" s="6" t="inlineStr">
        <is>
          <t>Notes</t>
        </is>
      </c>
    </row>
    <row r="4">
      <c r="A4" s="7" t="inlineStr">
        <is>
          <t>Wind capacity factor</t>
        </is>
      </c>
      <c r="B4" s="7" t="inlineStr">
        <is>
          <t>Data → Download by coordinates → Get wind and solar</t>
        </is>
      </c>
      <c r="C4" s="7" t="inlineStr">
        <is>
          <t>Open-Meteo archive API, model ERA5, at the island coordinates, one calendar year</t>
        </is>
      </c>
      <c r="D4" s="7" t="inlineStr">
        <is>
          <t>100 m wind → 150 m hub height (power law, exponent 0.11) → IEA 15 MW power curve smoothed to farm level (Gaussian, σ = 0.6 + 0.2·v m/s) → 12.5 % losses</t>
        </is>
      </c>
      <c r="E4" s="7" t="inlineStr">
        <is>
          <t>Hourly, ~25 km grid</t>
        </is>
      </c>
      <c r="F4" s="7" t="inlineStr">
        <is>
          <t>First estimate only; ERA5 slightly smooths peaks. Replace with your own farm model for a project.</t>
        </is>
      </c>
    </row>
    <row r="5">
      <c r="A5" s="7" t="inlineStr">
        <is>
          <t>Solar capacity factor</t>
        </is>
      </c>
      <c r="B5" s="7" t="inlineStr">
        <is>
          <t>same button</t>
        </is>
      </c>
      <c r="C5" s="7" t="inlineStr">
        <is>
          <t>Open-Meteo ERA5 global and diffuse irradiance, 2 m temperature, 10 m wind</t>
        </is>
      </c>
      <c r="D5" s="7" t="inlineStr">
        <is>
          <t>pvlib: 10° tilt facing the equator, albedo 0.06, Faiman cell temperature with water cooling (u0 = 35), PVWatts −0.35 %/K, 14 % losses</t>
        </is>
      </c>
      <c r="E5" s="7" t="inlineStr">
        <is>
          <t>Hourly, ~25 km grid</t>
        </is>
      </c>
      <c r="F5" s="7" t="inlineStr">
        <is>
          <t>Floating PV at sea; check wave exposure separately.</t>
        </is>
      </c>
    </row>
    <row r="6">
      <c r="A6" s="7" t="inlineStr">
        <is>
          <t>Day-ahead price</t>
        </is>
      </c>
      <c r="B6" s="7" t="inlineStr">
        <is>
          <t>Data → Download by coordinates → Get prices</t>
        </is>
      </c>
      <c r="C6" s="7" t="inlineStr">
        <is>
          <t>Energy-Charts /price endpoint for the chosen bidding zone and year</t>
        </is>
      </c>
      <c r="D6" s="7" t="inlineStr">
        <is>
          <t>15-minute prices averaged to hours; gaps interpolated; 29 February removed</t>
        </is>
      </c>
      <c r="E6" s="7" t="inlineStr">
        <is>
          <t>Hourly</t>
        </is>
      </c>
      <c r="F6" s="7" t="inlineStr">
        <is>
          <t>The service allows 2 requests per minute; if it is busy, wait a minute. For zones outside the CC BY list the data are for private use only.</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2026-10-09T07:01:50Z</dcterms:created>
  <dcterms:modified xmlns:dcterms="http://purl.org/dc/terms/" xmlns:xsi="http://www.w3.org/2001/XMLSchema-instance" xsi:type="dcterms:W3CDTF">2026-10-12T18:44:34Z</dcterms:modified>
</cp:coreProperties>
</file>